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FL/"/>
    </mc:Choice>
  </mc:AlternateContent>
  <xr:revisionPtr revIDLastSave="861" documentId="13_ncr:1_{5A93B042-4222-44D9-8911-BFF30458AA68}" xr6:coauthVersionLast="47" xr6:coauthVersionMax="47" xr10:uidLastSave="{CBC42860-4972-455B-B8F3-7AF87C0A55D6}"/>
  <bookViews>
    <workbookView xWindow="-110" yWindow="-110" windowWidth="38620" windowHeight="21100" firstSheet="1" activeTab="1" xr2:uid="{56B948DB-C1C2-4532-A1E4-31F55C68DA59}"/>
  </bookViews>
  <sheets>
    <sheet name="Reference_tables" sheetId="9" r:id="rId1"/>
    <sheet name="FL" sheetId="10" r:id="rId2"/>
    <sheet name="Sheet1" sheetId="11" r:id="rId3"/>
  </sheets>
  <definedNames>
    <definedName name="_xlnm._FilterDatabase" localSheetId="1" hidden="1">FL!$A$1:$J$95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0" l="1"/>
  <c r="G3" i="10"/>
  <c r="G4" i="10"/>
  <c r="G5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22" i="10"/>
  <c r="G23" i="10"/>
  <c r="G24" i="10"/>
  <c r="G25" i="10"/>
  <c r="G26" i="10"/>
  <c r="G27" i="10"/>
  <c r="G28" i="10"/>
  <c r="G29" i="10"/>
  <c r="G19" i="10" l="1"/>
  <c r="G17" i="10"/>
  <c r="G16" i="10"/>
  <c r="G15" i="10"/>
  <c r="G14" i="10"/>
  <c r="G13" i="10"/>
  <c r="G12" i="10"/>
  <c r="G11" i="10"/>
  <c r="G10" i="10"/>
  <c r="G9" i="10"/>
  <c r="G8" i="10"/>
  <c r="G7" i="10"/>
  <c r="G6" i="10"/>
</calcChain>
</file>

<file path=xl/sharedStrings.xml><?xml version="1.0" encoding="utf-8"?>
<sst xmlns="http://schemas.openxmlformats.org/spreadsheetml/2006/main" count="491" uniqueCount="297">
  <si>
    <t>Protection Type</t>
  </si>
  <si>
    <t>UDL_FVUMR001_id</t>
  </si>
  <si>
    <t>description</t>
  </si>
  <si>
    <t>UDL_FVUMR006_id</t>
  </si>
  <si>
    <t>Comprehensive - Market Value</t>
  </si>
  <si>
    <t>$0</t>
  </si>
  <si>
    <t>Third Party Fire and theft</t>
  </si>
  <si>
    <t>$100,000</t>
  </si>
  <si>
    <t>Third Party Only</t>
  </si>
  <si>
    <t>$150,000</t>
  </si>
  <si>
    <t>Fire and Theft Only</t>
  </si>
  <si>
    <t>$200,000</t>
  </si>
  <si>
    <t>$250,000</t>
  </si>
  <si>
    <t>UDL_FVUMR003_id</t>
  </si>
  <si>
    <t>Passenger Vehicle</t>
  </si>
  <si>
    <t>Caravan</t>
  </si>
  <si>
    <t>Camper Van</t>
  </si>
  <si>
    <t>Motorcycle</t>
  </si>
  <si>
    <t>Trailer</t>
  </si>
  <si>
    <t>Tow truck</t>
  </si>
  <si>
    <t>Transporter</t>
  </si>
  <si>
    <t>Tractor</t>
  </si>
  <si>
    <t>Forklift</t>
  </si>
  <si>
    <t>Other</t>
  </si>
  <si>
    <t>Restriction of Driver age</t>
  </si>
  <si>
    <t>UDL_FVUMR004_id</t>
  </si>
  <si>
    <t>No Restriction</t>
  </si>
  <si>
    <t>Min Age 21</t>
  </si>
  <si>
    <t>Min Age 25</t>
  </si>
  <si>
    <t>Min Age 30</t>
  </si>
  <si>
    <t>Min Age 40</t>
  </si>
  <si>
    <t>Highest Risk Use</t>
  </si>
  <si>
    <t>UDL_FVUMR005_id</t>
  </si>
  <si>
    <t>Business</t>
  </si>
  <si>
    <t>Courtesy Vehicle</t>
  </si>
  <si>
    <t>Hire Vehicle</t>
  </si>
  <si>
    <t>Mixed Private and Business</t>
  </si>
  <si>
    <t>Private and Commuting to work</t>
  </si>
  <si>
    <t>Private and Occasional Business</t>
  </si>
  <si>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</si>
  <si>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</si>
  <si>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</si>
  <si>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</si>
  <si>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</si>
  <si>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</si>
  <si>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</si>
  <si>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</si>
  <si>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</si>
  <si>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</si>
  <si>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VEHICLE DETAILS SUMMARY</t>
  </si>
  <si>
    <t>Number of Vehicles</t>
  </si>
  <si>
    <t>NumberofVehicles</t>
  </si>
  <si>
    <t>Auto-calculated</t>
  </si>
  <si>
    <t>Total Market Value</t>
  </si>
  <si>
    <t>MarketValue</t>
  </si>
  <si>
    <t>Refer to Standard protection sub group (calculation rule required)</t>
  </si>
  <si>
    <t>ProtectionType</t>
  </si>
  <si>
    <t>On - Hook</t>
  </si>
  <si>
    <t>OnHook</t>
  </si>
  <si>
    <t>COR</t>
  </si>
  <si>
    <t>ChoiceOfRepair</t>
  </si>
  <si>
    <t>Hire</t>
  </si>
  <si>
    <t>CarHire</t>
  </si>
  <si>
    <t>Glass</t>
  </si>
  <si>
    <t>ExcessWaiverForGlass</t>
  </si>
  <si>
    <t>Contribution</t>
  </si>
  <si>
    <t>Premium</t>
  </si>
  <si>
    <t>FLEET VEHICLE EXPORT</t>
  </si>
  <si>
    <t xml:space="preserve">Base Contribution </t>
  </si>
  <si>
    <t>PurePremium</t>
  </si>
  <si>
    <t>UW Adjustment</t>
  </si>
  <si>
    <t>UWAdjustmentTotal</t>
  </si>
  <si>
    <t>Claim Loading</t>
  </si>
  <si>
    <t>ClaimLoading</t>
  </si>
  <si>
    <t>Capping &amp; Cupping</t>
  </si>
  <si>
    <t>CappingAndCupping</t>
  </si>
  <si>
    <t>Sales Adjustment</t>
  </si>
  <si>
    <t>SalesAdjustment</t>
  </si>
  <si>
    <t>Number of Claims</t>
  </si>
  <si>
    <t>NumberOfClaims</t>
  </si>
  <si>
    <t>Claims Frequency</t>
  </si>
  <si>
    <t>ClaimsFrequency</t>
  </si>
  <si>
    <t>Claims Incurred</t>
  </si>
  <si>
    <t>ClaimsIncurred</t>
  </si>
  <si>
    <t>Loss Ratio</t>
  </si>
  <si>
    <t>Import Fleet - UPLOAD</t>
  </si>
  <si>
    <t>Registration</t>
  </si>
  <si>
    <t>RegistrationState</t>
  </si>
  <si>
    <t>Yes</t>
  </si>
  <si>
    <t>SNOWFLAKE - REFERENCE_FLEET_TEMPLATE</t>
  </si>
  <si>
    <t>Vehicle Description</t>
  </si>
  <si>
    <t>VehicleDescription</t>
  </si>
  <si>
    <t>RegistrationNumber</t>
  </si>
  <si>
    <t>Market Value</t>
  </si>
  <si>
    <t>Redbook/REGO API</t>
  </si>
  <si>
    <t>HighestRiskUse</t>
  </si>
  <si>
    <t xml:space="preserve">
General Business
Delivery
Courtesy
Hire</t>
  </si>
  <si>
    <t>Vehicle Accessories Description</t>
  </si>
  <si>
    <t>VehicleAccessoriesDescription</t>
  </si>
  <si>
    <t>AccessoriesDescription</t>
  </si>
  <si>
    <t>Vehicle Accessories Value</t>
  </si>
  <si>
    <t>VehicleAccessoriesValue</t>
  </si>
  <si>
    <t>AccessoriesValue</t>
  </si>
  <si>
    <t>Additional Party</t>
  </si>
  <si>
    <t>AdditonalParty</t>
  </si>
  <si>
    <t>Status</t>
  </si>
  <si>
    <t>Redbook API</t>
  </si>
  <si>
    <t>Import Fleet - Add vehicle</t>
  </si>
  <si>
    <t>Registration State</t>
  </si>
  <si>
    <t>Registration Number</t>
  </si>
  <si>
    <t>Year</t>
  </si>
  <si>
    <t>Make</t>
  </si>
  <si>
    <t>Model</t>
  </si>
  <si>
    <t>Override</t>
  </si>
  <si>
    <t>IF redbook/REGO API not found THEN tick the box</t>
  </si>
  <si>
    <t>Description</t>
  </si>
  <si>
    <t>Body Type</t>
  </si>
  <si>
    <t>BodyType</t>
  </si>
  <si>
    <t>Engine Size</t>
  </si>
  <si>
    <t>EngineSize</t>
  </si>
  <si>
    <t>Number of Cylinders</t>
  </si>
  <si>
    <t>NumberOfCylinders</t>
  </si>
  <si>
    <t>Induction Type</t>
  </si>
  <si>
    <t>InductionType</t>
  </si>
  <si>
    <t xml:space="preserve">
Aspirated 
Supercharged 
Turbocharged
Turbo and supercharged</t>
  </si>
  <si>
    <t>Gross Vehicle Mass (kg)</t>
  </si>
  <si>
    <t>GrossVehicleMass</t>
  </si>
  <si>
    <t>STANDARD PROTECTION</t>
  </si>
  <si>
    <t>Market value without accessories</t>
  </si>
  <si>
    <t>MarketValueWithoutAccessories</t>
  </si>
  <si>
    <t>Would you like to add accessories or modification</t>
  </si>
  <si>
    <t>AddAccessoriesOrModification</t>
  </si>
  <si>
    <t>1. No
2. Yes</t>
  </si>
  <si>
    <t>AddAccessories</t>
  </si>
  <si>
    <t xml:space="preserve">Description </t>
  </si>
  <si>
    <t>Amount</t>
  </si>
  <si>
    <t>Market value with accessories</t>
  </si>
  <si>
    <t>MarketValueWithAccessories</t>
  </si>
  <si>
    <t>Highest risk use</t>
  </si>
  <si>
    <t>Does the vehicle have an interested party?</t>
  </si>
  <si>
    <t>HaveInterestedParty</t>
  </si>
  <si>
    <t>Add details for the interested party *</t>
  </si>
  <si>
    <t>CBP_INTERESTEDPARTIES</t>
  </si>
  <si>
    <t>RLFULLNAME (Where RLFLEETVEHICLES =1)</t>
  </si>
  <si>
    <t>CONTRIBUTION</t>
  </si>
  <si>
    <t>FLEET DETAILS</t>
  </si>
  <si>
    <t>Total Value Excluding Accessories</t>
  </si>
  <si>
    <t>TotalValueExcludingAccessories</t>
  </si>
  <si>
    <t>Highest Value Vehicle in Fleet</t>
  </si>
  <si>
    <t>HighestValueVehicleinFleet</t>
  </si>
  <si>
    <t>Total Value of Non-Standard Accessories and Modifications</t>
  </si>
  <si>
    <t>TotalValueofNonStandard</t>
  </si>
  <si>
    <t xml:space="preserve">
Comprehensive
Third Party, Fire and Theft
Third Party Only </t>
  </si>
  <si>
    <t>CBP_FLEETVEHICLES</t>
  </si>
  <si>
    <t>FVPROTECTIONTYPE</t>
  </si>
  <si>
    <t>IF FVProtectionType = 1 THEN 'Comprehensive'
ELSEIF FVProtectionType = 3 THEN 'Third Party, Fire and Theft'
ELSEIF FVProtectionType = 4 THEN 'Third Party Only'
ELSEIF FVProtectionType = 5 THEN 'Third Party, Fire and Theft'
ELSE ''</t>
  </si>
  <si>
    <t>RestrictionOfDriverAge</t>
  </si>
  <si>
    <t xml:space="preserve">
No Restriction
Min Age 21
Min Age 25
Min Age 30
Min Age 40</t>
  </si>
  <si>
    <t>FVAGERESTRICTION</t>
  </si>
  <si>
    <t>IF FVAgeRestriction = 1 THEN 'No Restriction'
ELSEIF FVAgeRestriction = 2 THEN 'Min Age 21'
ELSEIF FVAgeRestriction = 3 THEN 'Min Age 25'
ELSEIF FVAgeRestriction = 4 THEN 'Min Age 30'
ELSEIF FVAgeRestriction = 5 THEN 'Min Age 40'
ELSE ''</t>
  </si>
  <si>
    <t>Maximum we will pay for any one vehicle</t>
  </si>
  <si>
    <t>MaximumOneVehiclePay</t>
  </si>
  <si>
    <t>Optional PROTECTION</t>
  </si>
  <si>
    <t>Choice of Repairer</t>
  </si>
  <si>
    <t>Taken
Not Taken</t>
  </si>
  <si>
    <t>FVCHOICEREPAIR</t>
  </si>
  <si>
    <t>IF FVChoiceRepair = 1 THEN 'Taken'
ELSEIF FVChoiceRepair = 0 THEN 'Not Taken'
ELSE ''</t>
  </si>
  <si>
    <t>Car Hire</t>
  </si>
  <si>
    <t>FVCARHIRE</t>
  </si>
  <si>
    <t>IF FVCARHIRE = 1 THEN 'Taken'
ELSEIF FVCARHIRE = 0 THEN 'Not Taken'
ELSE ''</t>
  </si>
  <si>
    <t>Unlimited Glass</t>
  </si>
  <si>
    <t>UnlimitedGlass</t>
  </si>
  <si>
    <t>FVUNLIMGLASS</t>
  </si>
  <si>
    <t>IF FVUNLIMGLASS = 1 THEN 'Protected'
ELSEIF FVUNLIMGLASS = 0 THEN 'Not Protected'
ELSE ''</t>
  </si>
  <si>
    <t>On-Hook</t>
  </si>
  <si>
    <t>IF FVCoverHookLiab = 1 THEN 0
ELSEIF FVCoverHookLiab = 2 THEN 100000
ELSEIF FVCoverHookLiab = 3 THEN 150000
ELSEIF FVCoverHookLiab = 4 THEN 200000
ELSEIF FVCoverHookLiab = 5 THEN 250000
ELSE ''</t>
  </si>
  <si>
    <t>How many of your vehicles may require On-Hook?</t>
  </si>
  <si>
    <t>HowManyOfYourVehiclesMayRequireOnHook</t>
  </si>
  <si>
    <t>UNDERWRITING QUESTIONS</t>
  </si>
  <si>
    <t>Do any of your vehicles have a taxi registration?</t>
  </si>
  <si>
    <t>DoAnyOfYourVehiclesHaveATaxiRegistration</t>
  </si>
  <si>
    <t>TaxiRegistration</t>
  </si>
  <si>
    <t>SNOWFLAKE - REFERENCE_UW_QU_FLGENERAL</t>
  </si>
  <si>
    <t>Does the member own any other businesses?</t>
  </si>
  <si>
    <t>DoesTheMemberOwnAnyOtherBusinesses</t>
  </si>
  <si>
    <t>OwnOtherBus</t>
  </si>
  <si>
    <t>Where are idle vehicles stored?</t>
  </si>
  <si>
    <t>WhereAreIdleVehiclesStored</t>
  </si>
  <si>
    <t>IdleVehStored</t>
  </si>
  <si>
    <t>Details of vehicle location risk mitigation (security, hail mitigation etc.)</t>
  </si>
  <si>
    <t>Details_LocRiskMit</t>
  </si>
  <si>
    <t>Are any vehicles hired out for Ride Share operations?</t>
  </si>
  <si>
    <t>AreAnyVehiclesHiredOutForRideShareOperations</t>
  </si>
  <si>
    <t>Rideshare</t>
  </si>
  <si>
    <t>SNOWFLAKE - REFERENCE_UW_QU_FLHIRE</t>
  </si>
  <si>
    <t>What % of the fleet is hired out to Ride Share operators?</t>
  </si>
  <si>
    <t>WhatPercentOfTheFleetIsHiredOutToRideShareOperators</t>
  </si>
  <si>
    <t>PercFLRideshare</t>
  </si>
  <si>
    <t>Are Hire contracts restricted to named drivers only</t>
  </si>
  <si>
    <t>AreHireContractsRestrictedToNamedDriversOnly</t>
  </si>
  <si>
    <t>ContractRestriction</t>
  </si>
  <si>
    <t>Are any hire vehicles driver supplied?</t>
  </si>
  <si>
    <t>AreAnyVehiclesDriverSupplied</t>
  </si>
  <si>
    <t>HireVehDriverSupplied</t>
  </si>
  <si>
    <t>How many years' experience does this member have operating a hire fleet?</t>
  </si>
  <si>
    <t>HowManyYearsExperienceDoesThisMemberHaveOperatingAHireFleet</t>
  </si>
  <si>
    <t>YearsExperiencehire</t>
  </si>
  <si>
    <t>Are contractors employed as drivers?</t>
  </si>
  <si>
    <t>AreContractorsEmployedAsDrivers</t>
  </si>
  <si>
    <t>AreContEmpDriver</t>
  </si>
  <si>
    <t>SNOWFLAKE - REFERENCE_UW_QU_FLDelivery</t>
  </si>
  <si>
    <t>Are any vehicles used to deliver dangerous goods?</t>
  </si>
  <si>
    <t>DeliverDangerousGood</t>
  </si>
  <si>
    <t>How many years' experience does this member have operating a delivery fleet?</t>
  </si>
  <si>
    <t>HowManyYearsExperienceDoesThisMemberHaveOperatingADeliveryFleet</t>
  </si>
  <si>
    <t>YearsExperienceDelivery</t>
  </si>
  <si>
    <t>Excesses</t>
  </si>
  <si>
    <t>Standard Excess</t>
  </si>
  <si>
    <t>StandardExcess</t>
  </si>
  <si>
    <t>Voluntary Excess</t>
  </si>
  <si>
    <t>VoluntaryExcess</t>
  </si>
  <si>
    <t>250
500
750
1000
1250
1500</t>
  </si>
  <si>
    <t>FVVOLUNTARYEXCESS</t>
  </si>
  <si>
    <t>If FVVOLUNTARY =. THEN Select 
ELSEIF FVOLUNTARY &lt;= 0 THEN 0
ELSEIF FVOLUNTARY &lt;= 250 THEN $250
ELSEIF FVOLUNTARY &lt;= 500 THEN $500
ELSEIF FVOLUNTARY &lt;= 750 THEN $750
ELSEIF FVOLUNTARY &lt;= 1000 THEN $1000
ELSEIF FVOLUNTARY &lt;= 1250 THEN $1250
ELSEIF FVOLUNTARY &gt; 1250 THEN $1500</t>
  </si>
  <si>
    <t>Imposed Excess</t>
  </si>
  <si>
    <t>ImposedExcess</t>
  </si>
  <si>
    <t>Hire Vehicle Excess</t>
  </si>
  <si>
    <t>Courtesy Vehicle  Excess</t>
  </si>
  <si>
    <t>On-Hook Excess</t>
  </si>
  <si>
    <t>Delivery Vehicle Excess</t>
  </si>
  <si>
    <t>Clauses</t>
  </si>
  <si>
    <t>Select Clause</t>
  </si>
  <si>
    <t>DCClauseType</t>
  </si>
  <si>
    <t>SNOWFLAKE - REFERENCE_SCHEDULE_CLAUSES</t>
  </si>
  <si>
    <t>DCClauseDescription</t>
  </si>
  <si>
    <t>[ATP-2423] Rating BP - AUS | Capping/Cupping - Jira</t>
  </si>
  <si>
    <t>[ATP-2731] Rating BP - NZ | Capping/Cupping - Jira</t>
  </si>
  <si>
    <t>[ATP-1819] Rating - BP AUS | Sales Adjustments - Jira</t>
  </si>
  <si>
    <t>[ATP-3803] Rating - BP NZ | Sales Adjustments - Jira</t>
  </si>
  <si>
    <t>Underwriting Adjustment Details</t>
  </si>
  <si>
    <t>Recurring Indicator</t>
  </si>
  <si>
    <t>RecurringIndicator</t>
  </si>
  <si>
    <t>UnderwritingDescription</t>
  </si>
  <si>
    <t>Adjustment Type</t>
  </si>
  <si>
    <t>AdjustmentSelection</t>
  </si>
  <si>
    <t>Adjustment (% or $)</t>
  </si>
  <si>
    <t>AdjustmentDollarAndPercent</t>
  </si>
  <si>
    <t>UW Adjustment Amount</t>
  </si>
  <si>
    <t>AdjustmentAmount</t>
  </si>
  <si>
    <t>UW Adjustment Total</t>
  </si>
  <si>
    <t>[ATP-2100] Rating - BP AUS | UW Adjustments - Jira</t>
  </si>
  <si>
    <t>[ATP-3769] Rating - BP NZ | UW Adjustments - Jira</t>
  </si>
  <si>
    <t>Name</t>
  </si>
  <si>
    <t>Type</t>
  </si>
  <si>
    <t>Length</t>
  </si>
  <si>
    <t>Format</t>
  </si>
  <si>
    <t>Informat</t>
  </si>
  <si>
    <t>Label</t>
  </si>
  <si>
    <t>CBP_Policy_Binder_id</t>
  </si>
  <si>
    <t>Numeric</t>
  </si>
  <si>
    <t>CBP_FLEETVEHICLES_id</t>
  </si>
  <si>
    <t>UID</t>
  </si>
  <si>
    <t>Character</t>
  </si>
  <si>
    <t>$255.</t>
  </si>
  <si>
    <t>FVAcc5Yrs</t>
  </si>
  <si>
    <t>FVAgeRestriction</t>
  </si>
  <si>
    <t>FVBaseContribution</t>
  </si>
  <si>
    <t>FVCappingCupping</t>
  </si>
  <si>
    <t>FVCarHire</t>
  </si>
  <si>
    <t>FVChoiceRepair</t>
  </si>
  <si>
    <t>FVClaimsCount</t>
  </si>
  <si>
    <t>FVClaimsLoading</t>
  </si>
  <si>
    <t>FVCourtesyVehExcess</t>
  </si>
  <si>
    <t>FVCoverHookLiab</t>
  </si>
  <si>
    <t>FVDEFAULTEXCESSAPPLIED</t>
  </si>
  <si>
    <t>FVHighestVehicleValue</t>
  </si>
  <si>
    <t>FVHireVehExcess</t>
  </si>
  <si>
    <t>FVHookLiabExcess</t>
  </si>
  <si>
    <t>FVImposedExcess</t>
  </si>
  <si>
    <t>FVImpossedExcessApplied</t>
  </si>
  <si>
    <t>FVInexperiencedExcess</t>
  </si>
  <si>
    <t>FVLessThan17</t>
  </si>
  <si>
    <t>FVLessThan19</t>
  </si>
  <si>
    <t>FVLessThan21</t>
  </si>
  <si>
    <t>FVLessThan25</t>
  </si>
  <si>
    <t>FVNetContribution</t>
  </si>
  <si>
    <t>FVNoVehicles</t>
  </si>
  <si>
    <t>FVPageVisited</t>
  </si>
  <si>
    <t>FVPrincipalUse</t>
  </si>
  <si>
    <t>FVProtectionType</t>
  </si>
  <si>
    <t>FVRegDrvSuspended</t>
  </si>
  <si>
    <t>FVStandardExcess</t>
  </si>
  <si>
    <t>FVTotalModVaule</t>
  </si>
  <si>
    <t>FVTotalValue</t>
  </si>
  <si>
    <t>FVTypeVeh</t>
  </si>
  <si>
    <t>FVUnlimGlass</t>
  </si>
  <si>
    <t>FVVoluntaryExcess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</si>
</sst>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0" xfId="0" applyFont="1"/>
    <xf numFmtId="0" fontId="12" fillId="4" borderId="0" xfId="0" applyFont="1" applyFill="1"/>
    <xf numFmtId="0" fontId="13" fillId="0" borderId="1" xfId="0" applyFont="1" applyBorder="1" applyAlignment="1">
      <alignment vertical="top" wrapText="1"/>
    </xf>
    <xf numFmtId="0" fontId="0" fillId="5" borderId="0" xfId="0" applyFill="1"/>
    <xf numFmtId="0" fontId="0" fillId="0" borderId="1" xfId="0" applyBorder="1" applyAlignment="1">
      <alignment wrapText="1"/>
    </xf>
    <xf numFmtId="0" fontId="11" fillId="0" borderId="0" xfId="19"/>
    <xf numFmtId="0" fontId="0" fillId="0" borderId="2" xfId="0" applyBorder="1"/>
    <xf numFmtId="0" fontId="5" fillId="0" borderId="2" xfId="0" applyFont="1" applyBorder="1" applyAlignment="1">
      <alignment horizontal="center" vertical="center" wrapText="1"/>
    </xf>
    <xf numFmtId="0" fontId="0" fillId="0" borderId="11" xfId="0" applyBorder="1"/>
    <xf numFmtId="0" fontId="5" fillId="0" borderId="15" xfId="0" applyFont="1" applyBorder="1" applyAlignment="1">
      <alignment horizontal="center" vertical="center" wrapText="1"/>
    </xf>
    <xf numFmtId="0" fontId="0" fillId="0" borderId="15" xfId="0" applyBorder="1"/>
    <xf numFmtId="0" fontId="5" fillId="0" borderId="16" xfId="0" applyFont="1" applyBorder="1" applyAlignment="1">
      <alignment horizontal="center" vertical="center" wrapText="1"/>
    </xf>
    <xf numFmtId="0" fontId="0" fillId="0" borderId="17" xfId="0" applyBorder="1"/>
    <xf numFmtId="0" fontId="5" fillId="0" borderId="1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 wrapText="1"/>
    </xf>
    <xf numFmtId="0" fontId="0" fillId="0" borderId="9" xfId="0" applyBorder="1"/>
    <xf numFmtId="0" fontId="5" fillId="0" borderId="18" xfId="0" applyFont="1" applyBorder="1" applyAlignment="1">
      <alignment horizontal="center" vertical="center" wrapText="1"/>
    </xf>
    <xf numFmtId="0" fontId="0" fillId="0" borderId="18" xfId="0" applyBorder="1"/>
    <xf numFmtId="0" fontId="5" fillId="0" borderId="19" xfId="0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5" Type="http://schemas.openxmlformats.org/officeDocument/2006/relationships/hyperlink" Target="https://capsoc.atlassian.net/browse/ATP-2100" TargetMode="External"/><Relationship Id="rId4" Type="http://schemas.openxmlformats.org/officeDocument/2006/relationships/hyperlink" Target="https://capsoc.atlassian.net/browse/ATP-3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E38"/>
  <sheetViews>
    <sheetView workbookViewId="0">
      <selection activeCell="B28" sqref="B28"/>
    </sheetView>
  </sheetViews>
  <sheetFormatPr defaultRowHeight="14.45"/>
  <cols>
    <col min="1" max="1" width="20.42578125" bestFit="1" customWidth="1"/>
    <col min="2" max="2" width="30.5703125" bestFit="1" customWidth="1"/>
    <col min="4" max="4" width="17.28515625" bestFit="1" customWidth="1"/>
    <col min="5" max="5" width="11" bestFit="1" customWidth="1"/>
  </cols>
  <sheetData>
    <row r="1" spans="1:5">
      <c r="A1" s="17" t="s">
        <v>0</v>
      </c>
      <c r="D1" s="17"/>
    </row>
    <row r="2" spans="1:5">
      <c r="A2" s="18" t="s">
        <v>1</v>
      </c>
      <c r="B2" s="18" t="s">
        <v>2</v>
      </c>
      <c r="D2" s="18" t="s">
        <v>3</v>
      </c>
      <c r="E2" s="18" t="s">
        <v>2</v>
      </c>
    </row>
    <row r="3" spans="1:5">
      <c r="A3" s="20">
        <v>1</v>
      </c>
      <c r="B3" s="20" t="s">
        <v>4</v>
      </c>
      <c r="D3" s="20">
        <v>1</v>
      </c>
      <c r="E3" s="20" t="s">
        <v>5</v>
      </c>
    </row>
    <row r="4" spans="1:5">
      <c r="A4" s="20">
        <v>3</v>
      </c>
      <c r="B4" s="20" t="s">
        <v>6</v>
      </c>
      <c r="D4" s="20">
        <v>2</v>
      </c>
      <c r="E4" s="20" t="s">
        <v>7</v>
      </c>
    </row>
    <row r="5" spans="1:5">
      <c r="A5" s="20">
        <v>4</v>
      </c>
      <c r="B5" s="20" t="s">
        <v>8</v>
      </c>
      <c r="D5" s="20">
        <v>3</v>
      </c>
      <c r="E5" s="20" t="s">
        <v>9</v>
      </c>
    </row>
    <row r="6" spans="1:5">
      <c r="A6" s="20">
        <v>5</v>
      </c>
      <c r="B6" s="20" t="s">
        <v>10</v>
      </c>
      <c r="D6" s="20">
        <v>4</v>
      </c>
      <c r="E6" s="20" t="s">
        <v>11</v>
      </c>
    </row>
    <row r="7" spans="1:5">
      <c r="A7" s="17"/>
      <c r="D7" s="20">
        <v>5</v>
      </c>
      <c r="E7" s="20" t="s">
        <v>12</v>
      </c>
    </row>
    <row r="8" spans="1:5">
      <c r="A8" s="17"/>
    </row>
    <row r="9" spans="1:5">
      <c r="A9" s="17" t="s">
        <v>13</v>
      </c>
      <c r="B9" t="s">
        <v>2</v>
      </c>
    </row>
    <row r="10" spans="1:5">
      <c r="A10">
        <v>1</v>
      </c>
      <c r="B10" t="s">
        <v>14</v>
      </c>
    </row>
    <row r="11" spans="1:5">
      <c r="A11">
        <v>2</v>
      </c>
      <c r="B11" t="s">
        <v>15</v>
      </c>
    </row>
    <row r="12" spans="1:5">
      <c r="A12">
        <v>3</v>
      </c>
      <c r="B12" t="s">
        <v>16</v>
      </c>
    </row>
    <row r="13" spans="1:5">
      <c r="A13">
        <v>4</v>
      </c>
      <c r="B13" t="s">
        <v>17</v>
      </c>
    </row>
    <row r="14" spans="1:5">
      <c r="A14">
        <v>5</v>
      </c>
      <c r="B14" t="s">
        <v>18</v>
      </c>
    </row>
    <row r="15" spans="1:5">
      <c r="A15" s="17">
        <v>6</v>
      </c>
      <c r="B15" t="s">
        <v>19</v>
      </c>
    </row>
    <row r="16" spans="1:5">
      <c r="A16" s="17">
        <v>7</v>
      </c>
      <c r="B16" t="s">
        <v>20</v>
      </c>
    </row>
    <row r="17" spans="1:2">
      <c r="A17" s="17">
        <v>8</v>
      </c>
      <c r="B17" t="s">
        <v>21</v>
      </c>
    </row>
    <row r="18" spans="1:2">
      <c r="A18">
        <v>9</v>
      </c>
      <c r="B18" t="s">
        <v>22</v>
      </c>
    </row>
    <row r="19" spans="1:2">
      <c r="A19">
        <v>10</v>
      </c>
      <c r="B19" t="s">
        <v>23</v>
      </c>
    </row>
    <row r="22" spans="1:2">
      <c r="A22" s="17" t="s">
        <v>24</v>
      </c>
    </row>
    <row r="23" spans="1:2">
      <c r="A23" s="18" t="s">
        <v>25</v>
      </c>
      <c r="B23" s="18" t="s">
        <v>2</v>
      </c>
    </row>
    <row r="24" spans="1:2">
      <c r="A24" s="20">
        <v>1</v>
      </c>
      <c r="B24" s="20" t="s">
        <v>26</v>
      </c>
    </row>
    <row r="25" spans="1:2">
      <c r="A25" s="20">
        <v>2</v>
      </c>
      <c r="B25" s="20" t="s">
        <v>27</v>
      </c>
    </row>
    <row r="26" spans="1:2">
      <c r="A26" s="20">
        <v>3</v>
      </c>
      <c r="B26" s="20" t="s">
        <v>28</v>
      </c>
    </row>
    <row r="27" spans="1:2">
      <c r="A27" s="20">
        <v>4</v>
      </c>
      <c r="B27" s="20" t="s">
        <v>29</v>
      </c>
    </row>
    <row r="28" spans="1:2">
      <c r="A28" s="20">
        <v>5</v>
      </c>
      <c r="B28" s="20" t="s">
        <v>30</v>
      </c>
    </row>
    <row r="29" spans="1:2">
      <c r="A29" s="17"/>
    </row>
    <row r="31" spans="1:2">
      <c r="A31" s="17" t="s">
        <v>31</v>
      </c>
    </row>
    <row r="32" spans="1:2">
      <c r="A32" s="18" t="s">
        <v>32</v>
      </c>
      <c r="B32" s="18" t="s">
        <v>2</v>
      </c>
    </row>
    <row r="33" spans="1:2">
      <c r="A33" s="20">
        <v>1</v>
      </c>
      <c r="B33" s="20" t="s">
        <v>33</v>
      </c>
    </row>
    <row r="34" spans="1:2">
      <c r="A34" s="20">
        <v>2</v>
      </c>
      <c r="B34" s="20" t="s">
        <v>34</v>
      </c>
    </row>
    <row r="35" spans="1:2">
      <c r="A35" s="20">
        <v>3</v>
      </c>
      <c r="B35" s="20" t="s">
        <v>35</v>
      </c>
    </row>
    <row r="36" spans="1:2">
      <c r="A36" s="20">
        <v>4</v>
      </c>
      <c r="B36" s="20" t="s">
        <v>36</v>
      </c>
    </row>
    <row r="37" spans="1:2">
      <c r="A37" s="20">
        <v>5</v>
      </c>
      <c r="B37" s="20" t="s">
        <v>37</v>
      </c>
    </row>
    <row r="38" spans="1:2">
      <c r="A38" s="20">
        <v>6</v>
      </c>
      <c r="B38" s="2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67B-7C53-4D1C-AADD-87AC60CA0F9A}">
  <sheetPr filterMode="1"/>
  <dimension ref="A1:J486"/>
  <sheetViews>
    <sheetView tabSelected="1" zoomScale="90" zoomScaleNormal="90" workbookViewId="0">
      <pane ySplit="1" topLeftCell="B2" activePane="bottomLeft" state="frozen"/>
      <selection pane="bottomLeft" activeCell="G1" sqref="G1:G1048576"/>
    </sheetView>
  </sheetViews>
  <sheetFormatPr defaultColWidth="9.28515625" defaultRowHeight="14.45"/>
  <cols>
    <col min="1" max="1" width="17.28515625" customWidth="1"/>
    <col min="2" max="3" width="33.42578125" customWidth="1"/>
    <col min="4" max="4" width="22.85546875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16.5" customHeight="1" thickBot="1">
      <c r="A1" s="10" t="s">
        <v>39</v>
      </c>
      <c r="B1" s="10" t="s">
        <v>40</v>
      </c>
      <c r="C1" s="10" t="s">
        <v>41</v>
      </c>
      <c r="D1" s="10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2" t="s">
        <v>47</v>
      </c>
      <c r="J1" s="12" t="s">
        <v>48</v>
      </c>
    </row>
    <row r="2" spans="1:10" ht="193.35" hidden="1" customHeight="1">
      <c r="A2" s="46" t="s">
        <v>49</v>
      </c>
      <c r="B2" s="3" t="s">
        <v>50</v>
      </c>
      <c r="C2" s="3" t="s">
        <v>51</v>
      </c>
      <c r="D2" s="3"/>
      <c r="E2" s="3"/>
      <c r="F2" s="3"/>
      <c r="G2" s="4" t="str">
        <f t="shared" ref="G2:G4" si="0">IF(H2&lt;&gt;"","Yes","NA")</f>
        <v>Yes</v>
      </c>
      <c r="H2" s="35" t="s">
        <v>52</v>
      </c>
      <c r="I2"/>
      <c r="J2"/>
    </row>
    <row r="3" spans="1:10" hidden="1">
      <c r="A3" s="47"/>
      <c r="B3" s="4" t="s">
        <v>53</v>
      </c>
      <c r="C3" s="4" t="s">
        <v>54</v>
      </c>
      <c r="D3" s="4"/>
      <c r="E3" s="4"/>
      <c r="F3" s="4"/>
      <c r="G3" s="4" t="str">
        <f t="shared" si="0"/>
        <v>Yes</v>
      </c>
      <c r="H3" s="15" t="s">
        <v>55</v>
      </c>
      <c r="I3"/>
      <c r="J3"/>
    </row>
    <row r="4" spans="1:10" hidden="1">
      <c r="A4" s="47"/>
      <c r="B4" s="4" t="s">
        <v>0</v>
      </c>
      <c r="C4" s="4" t="s">
        <v>56</v>
      </c>
      <c r="D4" s="19"/>
      <c r="E4" s="4"/>
      <c r="F4" s="4"/>
      <c r="G4" s="4" t="str">
        <f t="shared" si="0"/>
        <v>Yes</v>
      </c>
      <c r="H4" s="15" t="s">
        <v>55</v>
      </c>
      <c r="I4"/>
      <c r="J4"/>
    </row>
    <row r="5" spans="1:10" hidden="1">
      <c r="A5" s="47"/>
      <c r="B5" s="4" t="s">
        <v>57</v>
      </c>
      <c r="C5" s="4" t="s">
        <v>58</v>
      </c>
      <c r="D5" s="4"/>
      <c r="E5" s="4"/>
      <c r="F5" s="4"/>
      <c r="G5" s="4" t="str">
        <f>IF(H5&lt;&gt;"","Yes","NA")</f>
        <v>Yes</v>
      </c>
      <c r="H5" s="15" t="s">
        <v>55</v>
      </c>
      <c r="I5"/>
      <c r="J5"/>
    </row>
    <row r="6" spans="1:10" hidden="1">
      <c r="A6" s="47"/>
      <c r="B6" s="4" t="s">
        <v>59</v>
      </c>
      <c r="C6" s="4" t="s">
        <v>60</v>
      </c>
      <c r="D6" s="4"/>
      <c r="E6" s="4"/>
      <c r="F6" s="4"/>
      <c r="G6" s="4" t="str">
        <f t="shared" ref="G6:G17" si="1">IF(H6&lt;&gt;"","Yes","NA")</f>
        <v>Yes</v>
      </c>
      <c r="H6" s="15" t="s">
        <v>55</v>
      </c>
      <c r="I6"/>
      <c r="J6"/>
    </row>
    <row r="7" spans="1:10" hidden="1">
      <c r="A7" s="47"/>
      <c r="B7" s="4" t="s">
        <v>61</v>
      </c>
      <c r="C7" s="4" t="s">
        <v>62</v>
      </c>
      <c r="D7" s="19"/>
      <c r="E7" s="4"/>
      <c r="F7" s="4"/>
      <c r="G7" s="4" t="str">
        <f t="shared" si="1"/>
        <v>Yes</v>
      </c>
      <c r="H7" s="15" t="s">
        <v>55</v>
      </c>
      <c r="I7"/>
      <c r="J7"/>
    </row>
    <row r="8" spans="1:10" hidden="1">
      <c r="A8" s="47"/>
      <c r="B8" s="4" t="s">
        <v>63</v>
      </c>
      <c r="C8" s="4" t="s">
        <v>64</v>
      </c>
      <c r="D8" s="1"/>
      <c r="E8" s="4"/>
      <c r="F8" s="4"/>
      <c r="G8" s="4" t="str">
        <f t="shared" si="1"/>
        <v>Yes</v>
      </c>
      <c r="H8" s="15" t="s">
        <v>55</v>
      </c>
      <c r="I8" s="9"/>
      <c r="J8" s="9"/>
    </row>
    <row r="9" spans="1:10" ht="15" hidden="1" thickBot="1">
      <c r="A9" s="48"/>
      <c r="B9" s="5" t="s">
        <v>65</v>
      </c>
      <c r="C9" s="5" t="s">
        <v>66</v>
      </c>
      <c r="D9" s="31"/>
      <c r="E9" s="5"/>
      <c r="F9" s="5"/>
      <c r="G9" s="5" t="str">
        <f t="shared" si="1"/>
        <v>Yes</v>
      </c>
      <c r="H9" s="15" t="s">
        <v>55</v>
      </c>
      <c r="I9" s="9"/>
      <c r="J9" s="9"/>
    </row>
    <row r="10" spans="1:10" ht="30" hidden="1" customHeight="1">
      <c r="A10" s="49" t="s">
        <v>67</v>
      </c>
      <c r="B10" s="3" t="s">
        <v>68</v>
      </c>
      <c r="C10" s="3" t="s">
        <v>69</v>
      </c>
      <c r="D10" s="7"/>
      <c r="E10" s="3"/>
      <c r="F10" s="3"/>
      <c r="G10" s="3" t="str">
        <f t="shared" si="1"/>
        <v>NA</v>
      </c>
      <c r="H10" s="14"/>
      <c r="I10" s="9"/>
      <c r="J10" s="9"/>
    </row>
    <row r="11" spans="1:10" hidden="1">
      <c r="A11" s="50"/>
      <c r="B11" s="4" t="s">
        <v>70</v>
      </c>
      <c r="C11" s="4" t="s">
        <v>71</v>
      </c>
      <c r="D11" s="1"/>
      <c r="E11" s="4"/>
      <c r="F11" s="4"/>
      <c r="G11" s="4" t="str">
        <f t="shared" si="1"/>
        <v>NA</v>
      </c>
      <c r="H11" s="15"/>
      <c r="I11"/>
      <c r="J11"/>
    </row>
    <row r="12" spans="1:10" hidden="1">
      <c r="A12" s="50"/>
      <c r="B12" s="4" t="s">
        <v>72</v>
      </c>
      <c r="C12" s="4" t="s">
        <v>73</v>
      </c>
      <c r="D12" s="4"/>
      <c r="E12" s="4"/>
      <c r="F12" s="4"/>
      <c r="G12" s="4" t="str">
        <f t="shared" si="1"/>
        <v>NA</v>
      </c>
      <c r="H12" s="15"/>
    </row>
    <row r="13" spans="1:10" hidden="1">
      <c r="A13" s="50"/>
      <c r="B13" s="4" t="s">
        <v>74</v>
      </c>
      <c r="C13" s="4" t="s">
        <v>75</v>
      </c>
      <c r="D13" s="1"/>
      <c r="E13" s="4"/>
      <c r="F13" s="4"/>
      <c r="G13" s="4" t="str">
        <f t="shared" si="1"/>
        <v>NA</v>
      </c>
      <c r="H13" s="15"/>
    </row>
    <row r="14" spans="1:10" hidden="1">
      <c r="A14" s="50"/>
      <c r="B14" s="4" t="s">
        <v>76</v>
      </c>
      <c r="C14" s="4" t="s">
        <v>77</v>
      </c>
      <c r="D14" s="4"/>
      <c r="E14" s="4"/>
      <c r="F14" s="4"/>
      <c r="G14" s="4" t="str">
        <f t="shared" si="1"/>
        <v>NA</v>
      </c>
      <c r="H14" s="15"/>
    </row>
    <row r="15" spans="1:10" ht="33" hidden="1" customHeight="1">
      <c r="A15" s="50"/>
      <c r="B15" s="4" t="s">
        <v>65</v>
      </c>
      <c r="C15" s="4" t="s">
        <v>66</v>
      </c>
      <c r="D15" s="4"/>
      <c r="E15" s="4"/>
      <c r="F15" s="4"/>
      <c r="G15" s="4" t="str">
        <f t="shared" si="1"/>
        <v>NA</v>
      </c>
      <c r="H15" s="15"/>
      <c r="I15"/>
      <c r="J15"/>
    </row>
    <row r="16" spans="1:10" hidden="1">
      <c r="A16" s="50"/>
      <c r="B16" s="4" t="s">
        <v>78</v>
      </c>
      <c r="C16" s="4" t="s">
        <v>79</v>
      </c>
      <c r="D16" s="1"/>
      <c r="E16" s="4"/>
      <c r="F16" s="4"/>
      <c r="G16" s="4" t="str">
        <f t="shared" si="1"/>
        <v>NA</v>
      </c>
      <c r="H16" s="15"/>
      <c r="I16" s="22"/>
      <c r="J16" s="22"/>
    </row>
    <row r="17" spans="1:10" hidden="1">
      <c r="A17" s="50"/>
      <c r="B17" s="4" t="s">
        <v>80</v>
      </c>
      <c r="C17" s="4" t="s">
        <v>81</v>
      </c>
      <c r="D17" s="21"/>
      <c r="E17" s="4"/>
      <c r="F17" s="4"/>
      <c r="G17" s="4" t="str">
        <f t="shared" si="1"/>
        <v>NA</v>
      </c>
      <c r="H17" s="15"/>
      <c r="I17"/>
      <c r="J17"/>
    </row>
    <row r="18" spans="1:10" hidden="1">
      <c r="A18" s="50"/>
      <c r="B18" s="4" t="s">
        <v>82</v>
      </c>
      <c r="C18" s="4" t="s">
        <v>83</v>
      </c>
      <c r="D18" s="1"/>
      <c r="E18" s="4"/>
      <c r="F18" s="4"/>
      <c r="G18" s="4"/>
      <c r="H18" s="15"/>
      <c r="I18"/>
      <c r="J18"/>
    </row>
    <row r="19" spans="1:10" ht="30" hidden="1" customHeight="1" thickBot="1">
      <c r="A19" s="51"/>
      <c r="B19" s="5" t="s">
        <v>84</v>
      </c>
      <c r="C19" s="5"/>
      <c r="D19" s="6"/>
      <c r="E19" s="5"/>
      <c r="F19" s="5"/>
      <c r="G19" s="5" t="str">
        <f t="shared" ref="G19:G82" si="2">IF(H19&lt;&gt;"","Yes","NA")</f>
        <v>NA</v>
      </c>
      <c r="H19" s="16"/>
    </row>
    <row r="20" spans="1:10" ht="30" customHeight="1">
      <c r="A20" s="46" t="s">
        <v>85</v>
      </c>
      <c r="B20" s="3" t="s">
        <v>86</v>
      </c>
      <c r="C20" s="3" t="s">
        <v>86</v>
      </c>
      <c r="D20" s="7"/>
      <c r="E20" s="3"/>
      <c r="F20" s="3" t="s">
        <v>87</v>
      </c>
      <c r="G20" s="3" t="s">
        <v>88</v>
      </c>
      <c r="H20" s="14" t="s">
        <v>89</v>
      </c>
    </row>
    <row r="21" spans="1:10">
      <c r="A21" s="47"/>
      <c r="B21" s="4" t="s">
        <v>90</v>
      </c>
      <c r="C21" s="4" t="s">
        <v>91</v>
      </c>
      <c r="D21" s="1"/>
      <c r="E21" s="4"/>
      <c r="F21" s="4" t="s">
        <v>92</v>
      </c>
      <c r="G21" s="4" t="s">
        <v>88</v>
      </c>
      <c r="H21" s="15" t="s">
        <v>89</v>
      </c>
    </row>
    <row r="22" spans="1:10" hidden="1">
      <c r="A22" s="47"/>
      <c r="B22" s="4" t="s">
        <v>93</v>
      </c>
      <c r="C22" s="4" t="s">
        <v>54</v>
      </c>
      <c r="D22" s="1"/>
      <c r="E22" s="4"/>
      <c r="F22" s="4"/>
      <c r="G22" s="4" t="str">
        <f t="shared" si="2"/>
        <v>Yes</v>
      </c>
      <c r="H22" s="15" t="s">
        <v>94</v>
      </c>
    </row>
    <row r="23" spans="1:10" ht="65.099999999999994">
      <c r="A23" s="47"/>
      <c r="B23" s="4" t="s">
        <v>31</v>
      </c>
      <c r="C23" s="4" t="s">
        <v>95</v>
      </c>
      <c r="D23" s="33" t="s">
        <v>96</v>
      </c>
      <c r="E23" s="4"/>
      <c r="F23" s="4" t="s">
        <v>95</v>
      </c>
      <c r="G23" s="4" t="str">
        <f t="shared" si="2"/>
        <v>Yes</v>
      </c>
      <c r="H23" s="44" t="s">
        <v>89</v>
      </c>
    </row>
    <row r="24" spans="1:10">
      <c r="A24" s="47"/>
      <c r="B24" s="4" t="s">
        <v>97</v>
      </c>
      <c r="C24" s="4" t="s">
        <v>98</v>
      </c>
      <c r="D24" s="1"/>
      <c r="E24" s="4"/>
      <c r="F24" s="4" t="s">
        <v>99</v>
      </c>
      <c r="G24" s="4" t="str">
        <f t="shared" si="2"/>
        <v>Yes</v>
      </c>
      <c r="H24" s="15" t="s">
        <v>89</v>
      </c>
    </row>
    <row r="25" spans="1:10">
      <c r="A25" s="47"/>
      <c r="B25" s="4" t="s">
        <v>100</v>
      </c>
      <c r="C25" s="4" t="s">
        <v>101</v>
      </c>
      <c r="D25" s="1"/>
      <c r="E25" s="4"/>
      <c r="F25" s="4" t="s">
        <v>102</v>
      </c>
      <c r="G25" s="4" t="str">
        <f t="shared" si="2"/>
        <v>Yes</v>
      </c>
      <c r="H25" s="15" t="s">
        <v>89</v>
      </c>
    </row>
    <row r="26" spans="1:10">
      <c r="A26" s="47"/>
      <c r="B26" s="4" t="s">
        <v>103</v>
      </c>
      <c r="C26" s="4" t="s">
        <v>104</v>
      </c>
      <c r="D26" s="1"/>
      <c r="E26" s="4"/>
      <c r="F26" s="4"/>
      <c r="G26" s="4" t="str">
        <f t="shared" si="2"/>
        <v>Yes</v>
      </c>
      <c r="H26" s="15" t="s">
        <v>89</v>
      </c>
    </row>
    <row r="27" spans="1:10" hidden="1">
      <c r="A27" s="47"/>
      <c r="B27" s="4" t="s">
        <v>105</v>
      </c>
      <c r="C27" s="4" t="s">
        <v>105</v>
      </c>
      <c r="D27" s="1"/>
      <c r="E27" s="4"/>
      <c r="F27" s="4"/>
      <c r="G27" s="4" t="str">
        <f t="shared" si="2"/>
        <v>Yes</v>
      </c>
      <c r="H27" s="15" t="s">
        <v>106</v>
      </c>
    </row>
    <row r="28" spans="1:10" ht="15" hidden="1" thickBot="1">
      <c r="A28" s="48"/>
      <c r="B28" s="5" t="s">
        <v>65</v>
      </c>
      <c r="C28" s="5" t="s">
        <v>65</v>
      </c>
      <c r="D28" s="6"/>
      <c r="E28" s="5"/>
      <c r="F28" s="5"/>
      <c r="G28" s="5" t="str">
        <f t="shared" si="2"/>
        <v>NA</v>
      </c>
      <c r="H28" s="16"/>
    </row>
    <row r="29" spans="1:10" ht="30" customHeight="1">
      <c r="A29" s="46" t="s">
        <v>107</v>
      </c>
      <c r="B29" s="3" t="s">
        <v>108</v>
      </c>
      <c r="C29" s="3" t="s">
        <v>87</v>
      </c>
      <c r="D29" s="7"/>
      <c r="E29" s="3"/>
      <c r="F29" s="3" t="s">
        <v>87</v>
      </c>
      <c r="G29" s="3" t="str">
        <f t="shared" si="2"/>
        <v>Yes</v>
      </c>
      <c r="H29" s="15" t="s">
        <v>89</v>
      </c>
    </row>
    <row r="30" spans="1:10">
      <c r="A30" s="47"/>
      <c r="B30" s="4" t="s">
        <v>109</v>
      </c>
      <c r="C30" s="4" t="s">
        <v>92</v>
      </c>
      <c r="D30" s="1"/>
      <c r="E30" s="4"/>
      <c r="F30" s="4" t="s">
        <v>92</v>
      </c>
      <c r="G30" s="4" t="str">
        <f t="shared" si="2"/>
        <v>Yes</v>
      </c>
      <c r="H30" s="15" t="s">
        <v>89</v>
      </c>
    </row>
    <row r="31" spans="1:10">
      <c r="A31" s="47"/>
      <c r="B31" s="4" t="s">
        <v>110</v>
      </c>
      <c r="C31" s="4" t="s">
        <v>110</v>
      </c>
      <c r="D31" s="1"/>
      <c r="E31" s="4"/>
      <c r="F31" s="4" t="s">
        <v>110</v>
      </c>
      <c r="G31" s="4" t="str">
        <f t="shared" si="2"/>
        <v>Yes</v>
      </c>
      <c r="H31" s="44" t="s">
        <v>89</v>
      </c>
    </row>
    <row r="32" spans="1:10">
      <c r="A32" s="47"/>
      <c r="B32" s="4" t="s">
        <v>111</v>
      </c>
      <c r="C32" s="4" t="s">
        <v>111</v>
      </c>
      <c r="D32" s="1"/>
      <c r="E32" s="4"/>
      <c r="F32" s="4" t="s">
        <v>111</v>
      </c>
      <c r="G32" s="4" t="str">
        <f t="shared" si="2"/>
        <v>Yes</v>
      </c>
      <c r="H32" s="44" t="s">
        <v>89</v>
      </c>
    </row>
    <row r="33" spans="1:8">
      <c r="A33" s="47"/>
      <c r="B33" s="4" t="s">
        <v>112</v>
      </c>
      <c r="C33" s="4" t="s">
        <v>112</v>
      </c>
      <c r="D33" s="1"/>
      <c r="E33" s="4"/>
      <c r="F33" s="4" t="s">
        <v>112</v>
      </c>
      <c r="G33" s="4" t="str">
        <f t="shared" si="2"/>
        <v>Yes</v>
      </c>
      <c r="H33" s="44" t="s">
        <v>89</v>
      </c>
    </row>
    <row r="34" spans="1:8" hidden="1">
      <c r="A34" s="47"/>
      <c r="B34" s="4" t="s">
        <v>113</v>
      </c>
      <c r="C34" s="4"/>
      <c r="D34" s="1"/>
      <c r="E34" s="4"/>
      <c r="F34" s="4"/>
      <c r="G34" s="4" t="str">
        <f t="shared" si="2"/>
        <v>Yes</v>
      </c>
      <c r="H34" s="44" t="s">
        <v>114</v>
      </c>
    </row>
    <row r="35" spans="1:8">
      <c r="A35" s="47"/>
      <c r="B35" s="4" t="s">
        <v>115</v>
      </c>
      <c r="C35" s="4" t="s">
        <v>115</v>
      </c>
      <c r="D35" s="1"/>
      <c r="E35" s="4"/>
      <c r="F35" s="4" t="s">
        <v>115</v>
      </c>
      <c r="G35" s="4" t="str">
        <f t="shared" si="2"/>
        <v>Yes</v>
      </c>
      <c r="H35" s="44" t="s">
        <v>89</v>
      </c>
    </row>
    <row r="36" spans="1:8">
      <c r="A36" s="47"/>
      <c r="B36" s="4" t="s">
        <v>116</v>
      </c>
      <c r="C36" s="4" t="s">
        <v>117</v>
      </c>
      <c r="D36" s="1"/>
      <c r="E36" s="4"/>
      <c r="F36" s="4" t="s">
        <v>117</v>
      </c>
      <c r="G36" s="4" t="str">
        <f t="shared" si="2"/>
        <v>Yes</v>
      </c>
      <c r="H36" s="44" t="s">
        <v>89</v>
      </c>
    </row>
    <row r="37" spans="1:8">
      <c r="A37" s="47"/>
      <c r="B37" s="4" t="s">
        <v>118</v>
      </c>
      <c r="C37" s="4" t="s">
        <v>119</v>
      </c>
      <c r="D37" s="1"/>
      <c r="E37" s="4"/>
      <c r="F37" s="4" t="s">
        <v>119</v>
      </c>
      <c r="G37" s="4" t="str">
        <f t="shared" si="2"/>
        <v>Yes</v>
      </c>
      <c r="H37" s="44" t="s">
        <v>89</v>
      </c>
    </row>
    <row r="38" spans="1:8">
      <c r="A38" s="47"/>
      <c r="B38" s="4" t="s">
        <v>120</v>
      </c>
      <c r="C38" s="4" t="s">
        <v>121</v>
      </c>
      <c r="D38" s="33"/>
      <c r="E38" s="4"/>
      <c r="F38" s="4" t="s">
        <v>121</v>
      </c>
      <c r="G38" s="4" t="str">
        <f t="shared" si="2"/>
        <v>Yes</v>
      </c>
      <c r="H38" s="44" t="s">
        <v>89</v>
      </c>
    </row>
    <row r="39" spans="1:8" ht="65.099999999999994">
      <c r="A39" s="47"/>
      <c r="B39" s="4" t="s">
        <v>122</v>
      </c>
      <c r="C39" s="4" t="s">
        <v>123</v>
      </c>
      <c r="D39" s="33" t="s">
        <v>124</v>
      </c>
      <c r="E39" s="4"/>
      <c r="F39" s="4" t="s">
        <v>123</v>
      </c>
      <c r="G39" s="4" t="str">
        <f t="shared" si="2"/>
        <v>Yes</v>
      </c>
      <c r="H39" s="44" t="s">
        <v>89</v>
      </c>
    </row>
    <row r="40" spans="1:8" ht="15" thickBot="1">
      <c r="A40" s="48"/>
      <c r="B40" s="5" t="s">
        <v>125</v>
      </c>
      <c r="C40" s="5" t="s">
        <v>126</v>
      </c>
      <c r="D40" s="6"/>
      <c r="E40" s="5"/>
      <c r="F40" s="5" t="s">
        <v>126</v>
      </c>
      <c r="G40" s="5" t="str">
        <f t="shared" si="2"/>
        <v>Yes</v>
      </c>
      <c r="H40" s="45" t="s">
        <v>89</v>
      </c>
    </row>
    <row r="41" spans="1:8" hidden="1">
      <c r="A41" s="46" t="s">
        <v>127</v>
      </c>
      <c r="B41" s="3"/>
      <c r="C41" s="3"/>
      <c r="D41" s="7"/>
      <c r="E41" s="3"/>
      <c r="F41" s="3"/>
      <c r="G41" s="3" t="str">
        <f t="shared" si="2"/>
        <v>NA</v>
      </c>
      <c r="H41" s="14"/>
    </row>
    <row r="42" spans="1:8" ht="29.25">
      <c r="A42" s="47"/>
      <c r="B42" s="4" t="s">
        <v>128</v>
      </c>
      <c r="C42" s="4" t="s">
        <v>129</v>
      </c>
      <c r="D42" s="1"/>
      <c r="E42" s="4"/>
      <c r="F42" s="4" t="s">
        <v>129</v>
      </c>
      <c r="G42" s="4" t="str">
        <f t="shared" si="2"/>
        <v>Yes</v>
      </c>
      <c r="H42" s="44" t="s">
        <v>89</v>
      </c>
    </row>
    <row r="43" spans="1:8" ht="29.25">
      <c r="A43" s="47"/>
      <c r="B43" s="4" t="s">
        <v>130</v>
      </c>
      <c r="C43" s="4" t="s">
        <v>131</v>
      </c>
      <c r="D43" s="32" t="s">
        <v>132</v>
      </c>
      <c r="E43" s="4"/>
      <c r="F43" s="4" t="s">
        <v>133</v>
      </c>
      <c r="G43" s="4" t="str">
        <f t="shared" si="2"/>
        <v>Yes</v>
      </c>
      <c r="H43" s="44" t="s">
        <v>89</v>
      </c>
    </row>
    <row r="44" spans="1:8">
      <c r="A44" s="47"/>
      <c r="B44" s="4" t="s">
        <v>134</v>
      </c>
      <c r="C44" s="4" t="s">
        <v>98</v>
      </c>
      <c r="D44" s="1"/>
      <c r="E44" s="4"/>
      <c r="F44" s="4" t="s">
        <v>99</v>
      </c>
      <c r="G44" s="4" t="str">
        <f t="shared" si="2"/>
        <v>Yes</v>
      </c>
      <c r="H44" s="44" t="s">
        <v>89</v>
      </c>
    </row>
    <row r="45" spans="1:8">
      <c r="A45" s="47"/>
      <c r="B45" s="4" t="s">
        <v>135</v>
      </c>
      <c r="C45" s="4" t="s">
        <v>101</v>
      </c>
      <c r="D45" s="1"/>
      <c r="E45" s="4"/>
      <c r="F45" s="4" t="s">
        <v>102</v>
      </c>
      <c r="G45" s="4" t="str">
        <f t="shared" si="2"/>
        <v>Yes</v>
      </c>
      <c r="H45" s="44" t="s">
        <v>89</v>
      </c>
    </row>
    <row r="46" spans="1:8" hidden="1">
      <c r="A46" s="47"/>
      <c r="B46" s="4" t="s">
        <v>136</v>
      </c>
      <c r="C46" s="4" t="s">
        <v>137</v>
      </c>
      <c r="D46" s="1"/>
      <c r="E46" s="4"/>
      <c r="F46" s="4"/>
      <c r="G46" s="4" t="str">
        <f t="shared" si="2"/>
        <v>Yes</v>
      </c>
      <c r="H46" s="15" t="s">
        <v>52</v>
      </c>
    </row>
    <row r="47" spans="1:8" ht="61.5">
      <c r="A47" s="47"/>
      <c r="B47" s="4" t="s">
        <v>138</v>
      </c>
      <c r="C47" s="4" t="s">
        <v>95</v>
      </c>
      <c r="D47" s="33" t="s">
        <v>96</v>
      </c>
      <c r="E47" s="4"/>
      <c r="F47" s="4" t="s">
        <v>95</v>
      </c>
      <c r="G47" s="4" t="str">
        <f t="shared" si="2"/>
        <v>Yes</v>
      </c>
      <c r="H47" s="44" t="s">
        <v>89</v>
      </c>
    </row>
    <row r="48" spans="1:8" ht="29.1" hidden="1">
      <c r="A48" s="47"/>
      <c r="B48" s="4" t="s">
        <v>139</v>
      </c>
      <c r="C48" s="4" t="s">
        <v>140</v>
      </c>
      <c r="D48" s="32" t="s">
        <v>132</v>
      </c>
      <c r="E48" s="4"/>
      <c r="F48" s="4"/>
      <c r="G48" s="4" t="str">
        <f t="shared" si="2"/>
        <v>NA</v>
      </c>
      <c r="H48" s="44"/>
    </row>
    <row r="49" spans="1:8" ht="29.45" hidden="1" thickBot="1">
      <c r="A49" s="48"/>
      <c r="B49" s="5" t="s">
        <v>141</v>
      </c>
      <c r="C49" s="5" t="s">
        <v>104</v>
      </c>
      <c r="D49" s="6"/>
      <c r="E49" s="5" t="s">
        <v>142</v>
      </c>
      <c r="F49" s="5" t="s">
        <v>143</v>
      </c>
      <c r="G49" s="5" t="str">
        <f t="shared" si="2"/>
        <v>NA</v>
      </c>
      <c r="H49" s="45"/>
    </row>
    <row r="50" spans="1:8" ht="15" hidden="1" thickBot="1">
      <c r="A50" s="38" t="s">
        <v>144</v>
      </c>
      <c r="B50" s="39" t="s">
        <v>65</v>
      </c>
      <c r="C50" s="39" t="s">
        <v>66</v>
      </c>
      <c r="D50" s="40"/>
      <c r="E50" s="39"/>
      <c r="F50" s="39"/>
      <c r="G50" s="39" t="str">
        <f t="shared" si="2"/>
        <v>NA</v>
      </c>
      <c r="H50" s="41"/>
    </row>
    <row r="51" spans="1:8" hidden="1">
      <c r="A51" s="49" t="s">
        <v>145</v>
      </c>
      <c r="B51" s="3" t="s">
        <v>146</v>
      </c>
      <c r="C51" s="3" t="s">
        <v>147</v>
      </c>
      <c r="D51" s="7"/>
      <c r="E51" s="3"/>
      <c r="F51" s="3"/>
      <c r="G51" s="3" t="str">
        <f t="shared" si="2"/>
        <v>Yes</v>
      </c>
      <c r="H51" s="14" t="s">
        <v>52</v>
      </c>
    </row>
    <row r="52" spans="1:8" hidden="1">
      <c r="A52" s="50"/>
      <c r="B52" s="4" t="s">
        <v>50</v>
      </c>
      <c r="C52" s="4" t="s">
        <v>51</v>
      </c>
      <c r="D52" s="1"/>
      <c r="E52" s="4"/>
      <c r="F52" s="4"/>
      <c r="G52" s="4" t="str">
        <f t="shared" si="2"/>
        <v>Yes</v>
      </c>
      <c r="H52" s="15" t="s">
        <v>52</v>
      </c>
    </row>
    <row r="53" spans="1:8" hidden="1">
      <c r="A53" s="50"/>
      <c r="B53" s="4" t="s">
        <v>148</v>
      </c>
      <c r="C53" s="4" t="s">
        <v>149</v>
      </c>
      <c r="D53" s="1"/>
      <c r="E53" s="4"/>
      <c r="F53" s="4"/>
      <c r="G53" s="4" t="str">
        <f t="shared" si="2"/>
        <v>Yes</v>
      </c>
      <c r="H53" s="15" t="s">
        <v>52</v>
      </c>
    </row>
    <row r="54" spans="1:8" ht="29.45" hidden="1" thickBot="1">
      <c r="A54" s="51"/>
      <c r="B54" s="5" t="s">
        <v>150</v>
      </c>
      <c r="C54" s="5" t="s">
        <v>151</v>
      </c>
      <c r="D54" s="6"/>
      <c r="E54" s="5"/>
      <c r="F54" s="5"/>
      <c r="G54" s="5" t="str">
        <f t="shared" si="2"/>
        <v>Yes</v>
      </c>
      <c r="H54" s="16" t="s">
        <v>52</v>
      </c>
    </row>
    <row r="55" spans="1:8" ht="72.599999999999994">
      <c r="A55" s="47" t="s">
        <v>127</v>
      </c>
      <c r="B55" s="30" t="s">
        <v>0</v>
      </c>
      <c r="C55" s="30" t="s">
        <v>56</v>
      </c>
      <c r="D55" s="42" t="s">
        <v>152</v>
      </c>
      <c r="E55" s="30" t="s">
        <v>153</v>
      </c>
      <c r="F55" s="30" t="s">
        <v>154</v>
      </c>
      <c r="G55" s="30" t="str">
        <f t="shared" si="2"/>
        <v>Yes</v>
      </c>
      <c r="H55" s="43" t="s">
        <v>155</v>
      </c>
    </row>
    <row r="56" spans="1:8" ht="62.25" customHeight="1" thickBot="1">
      <c r="A56" s="47"/>
      <c r="B56" s="4" t="s">
        <v>24</v>
      </c>
      <c r="C56" s="4" t="s">
        <v>156</v>
      </c>
      <c r="D56" s="33" t="s">
        <v>157</v>
      </c>
      <c r="E56" s="4" t="s">
        <v>153</v>
      </c>
      <c r="F56" s="4" t="s">
        <v>158</v>
      </c>
      <c r="G56" s="4" t="str">
        <f t="shared" si="2"/>
        <v>Yes</v>
      </c>
      <c r="H56" s="15" t="s">
        <v>159</v>
      </c>
    </row>
    <row r="57" spans="1:8" ht="65.25" hidden="1" customHeight="1" thickBot="1">
      <c r="A57" s="48"/>
      <c r="B57" s="5" t="s">
        <v>160</v>
      </c>
      <c r="C57" s="5" t="s">
        <v>161</v>
      </c>
      <c r="D57" s="6"/>
      <c r="E57" s="5"/>
      <c r="F57" s="5"/>
      <c r="G57" s="5" t="str">
        <f t="shared" si="2"/>
        <v>Yes</v>
      </c>
      <c r="H57" s="14" t="s">
        <v>52</v>
      </c>
    </row>
    <row r="58" spans="1:8" ht="44.1" thickBot="1">
      <c r="A58" s="46" t="s">
        <v>162</v>
      </c>
      <c r="B58" s="3" t="s">
        <v>163</v>
      </c>
      <c r="C58" s="3" t="s">
        <v>60</v>
      </c>
      <c r="D58" s="34" t="s">
        <v>164</v>
      </c>
      <c r="E58" s="3" t="s">
        <v>153</v>
      </c>
      <c r="F58" s="3" t="s">
        <v>165</v>
      </c>
      <c r="G58" s="3" t="str">
        <f t="shared" si="2"/>
        <v>Yes</v>
      </c>
      <c r="H58" s="14" t="s">
        <v>166</v>
      </c>
    </row>
    <row r="59" spans="1:8" ht="44.1" thickBot="1">
      <c r="A59" s="47"/>
      <c r="B59" s="4" t="s">
        <v>167</v>
      </c>
      <c r="C59" s="4" t="s">
        <v>62</v>
      </c>
      <c r="D59" s="21" t="s">
        <v>164</v>
      </c>
      <c r="E59" s="4" t="s">
        <v>153</v>
      </c>
      <c r="F59" s="4" t="s">
        <v>168</v>
      </c>
      <c r="G59" s="4" t="str">
        <f t="shared" si="2"/>
        <v>Yes</v>
      </c>
      <c r="H59" s="14" t="s">
        <v>169</v>
      </c>
    </row>
    <row r="60" spans="1:8" ht="43.5">
      <c r="A60" s="47"/>
      <c r="B60" s="4" t="s">
        <v>170</v>
      </c>
      <c r="C60" s="4" t="s">
        <v>171</v>
      </c>
      <c r="D60" s="21" t="s">
        <v>164</v>
      </c>
      <c r="E60" s="4" t="s">
        <v>153</v>
      </c>
      <c r="F60" s="4" t="s">
        <v>172</v>
      </c>
      <c r="G60" s="4" t="str">
        <f t="shared" si="2"/>
        <v>Yes</v>
      </c>
      <c r="H60" s="14" t="s">
        <v>173</v>
      </c>
    </row>
    <row r="61" spans="1:8" ht="87">
      <c r="A61" s="47"/>
      <c r="B61" s="4" t="s">
        <v>174</v>
      </c>
      <c r="C61" s="4" t="s">
        <v>58</v>
      </c>
      <c r="D61" s="1"/>
      <c r="E61" s="4" t="s">
        <v>153</v>
      </c>
      <c r="F61" s="4" t="s">
        <v>64</v>
      </c>
      <c r="G61" s="4" t="str">
        <f t="shared" si="2"/>
        <v>Yes</v>
      </c>
      <c r="H61" s="15" t="s">
        <v>175</v>
      </c>
    </row>
    <row r="62" spans="1:8" ht="29.45" hidden="1" thickBot="1">
      <c r="A62" s="48"/>
      <c r="B62" s="5" t="s">
        <v>176</v>
      </c>
      <c r="C62" s="5" t="s">
        <v>177</v>
      </c>
      <c r="D62" s="6"/>
      <c r="E62" s="5"/>
      <c r="F62" s="5"/>
      <c r="G62" s="5" t="str">
        <f t="shared" si="2"/>
        <v>NA</v>
      </c>
      <c r="H62" s="16"/>
    </row>
    <row r="63" spans="1:8" ht="29.1">
      <c r="A63" s="46" t="s">
        <v>178</v>
      </c>
      <c r="B63" s="3" t="s">
        <v>179</v>
      </c>
      <c r="C63" s="3" t="s">
        <v>180</v>
      </c>
      <c r="D63" s="7"/>
      <c r="E63" s="3"/>
      <c r="F63" s="3" t="s">
        <v>181</v>
      </c>
      <c r="G63" s="3" t="str">
        <f t="shared" si="2"/>
        <v>Yes</v>
      </c>
      <c r="H63" s="37" t="s">
        <v>182</v>
      </c>
    </row>
    <row r="64" spans="1:8" ht="29.1">
      <c r="A64" s="47"/>
      <c r="B64" s="4" t="s">
        <v>183</v>
      </c>
      <c r="C64" s="4" t="s">
        <v>184</v>
      </c>
      <c r="D64" s="1"/>
      <c r="E64" s="4"/>
      <c r="F64" s="4" t="s">
        <v>185</v>
      </c>
      <c r="G64" s="4" t="str">
        <f t="shared" si="2"/>
        <v>Yes</v>
      </c>
      <c r="H64" s="15" t="s">
        <v>182</v>
      </c>
    </row>
    <row r="65" spans="1:8">
      <c r="A65" s="47"/>
      <c r="B65" s="4" t="s">
        <v>186</v>
      </c>
      <c r="C65" s="4" t="s">
        <v>187</v>
      </c>
      <c r="D65" s="1"/>
      <c r="E65" s="4"/>
      <c r="F65" s="4" t="s">
        <v>188</v>
      </c>
      <c r="G65" s="4" t="str">
        <f t="shared" si="2"/>
        <v>Yes</v>
      </c>
      <c r="H65" s="15" t="s">
        <v>182</v>
      </c>
    </row>
    <row r="66" spans="1:8" ht="29.1">
      <c r="A66" s="47"/>
      <c r="B66" s="4" t="s">
        <v>189</v>
      </c>
      <c r="C66" s="4" t="s">
        <v>187</v>
      </c>
      <c r="D66" s="1"/>
      <c r="E66" s="4"/>
      <c r="F66" s="4" t="s">
        <v>190</v>
      </c>
      <c r="G66" s="4" t="str">
        <f t="shared" si="2"/>
        <v>Yes</v>
      </c>
      <c r="H66" s="15" t="s">
        <v>182</v>
      </c>
    </row>
    <row r="67" spans="1:8" ht="29.1">
      <c r="A67" s="47"/>
      <c r="B67" s="4" t="s">
        <v>191</v>
      </c>
      <c r="C67" s="4" t="s">
        <v>192</v>
      </c>
      <c r="D67" s="1"/>
      <c r="E67" s="4"/>
      <c r="F67" s="4" t="s">
        <v>193</v>
      </c>
      <c r="G67" s="4" t="str">
        <f t="shared" si="2"/>
        <v>Yes</v>
      </c>
      <c r="H67" s="15" t="s">
        <v>194</v>
      </c>
    </row>
    <row r="68" spans="1:8" ht="29.1">
      <c r="A68" s="47"/>
      <c r="B68" s="4" t="s">
        <v>195</v>
      </c>
      <c r="C68" s="4" t="s">
        <v>196</v>
      </c>
      <c r="D68" s="1"/>
      <c r="E68" s="4"/>
      <c r="F68" s="4" t="s">
        <v>197</v>
      </c>
      <c r="G68" s="4" t="str">
        <f t="shared" si="2"/>
        <v>Yes</v>
      </c>
      <c r="H68" s="15" t="s">
        <v>194</v>
      </c>
    </row>
    <row r="69" spans="1:8" ht="29.1">
      <c r="A69" s="47"/>
      <c r="B69" s="4" t="s">
        <v>198</v>
      </c>
      <c r="C69" s="4" t="s">
        <v>199</v>
      </c>
      <c r="D69" s="1"/>
      <c r="E69" s="4"/>
      <c r="F69" s="4" t="s">
        <v>200</v>
      </c>
      <c r="G69" s="4" t="str">
        <f t="shared" si="2"/>
        <v>Yes</v>
      </c>
      <c r="H69" s="15" t="s">
        <v>194</v>
      </c>
    </row>
    <row r="70" spans="1:8">
      <c r="A70" s="47"/>
      <c r="B70" s="4" t="s">
        <v>201</v>
      </c>
      <c r="C70" s="4" t="s">
        <v>202</v>
      </c>
      <c r="D70" s="1"/>
      <c r="E70" s="4"/>
      <c r="F70" s="4" t="s">
        <v>203</v>
      </c>
      <c r="G70" s="4" t="str">
        <f t="shared" si="2"/>
        <v>Yes</v>
      </c>
      <c r="H70" s="15" t="s">
        <v>194</v>
      </c>
    </row>
    <row r="71" spans="1:8" ht="29.1">
      <c r="A71" s="47"/>
      <c r="B71" s="4" t="s">
        <v>204</v>
      </c>
      <c r="C71" s="4" t="s">
        <v>205</v>
      </c>
      <c r="D71" s="1"/>
      <c r="E71" s="4"/>
      <c r="F71" s="4" t="s">
        <v>206</v>
      </c>
      <c r="G71" s="4" t="str">
        <f t="shared" si="2"/>
        <v>Yes</v>
      </c>
      <c r="H71" s="15" t="s">
        <v>194</v>
      </c>
    </row>
    <row r="72" spans="1:8">
      <c r="A72" s="47"/>
      <c r="B72" s="4" t="s">
        <v>207</v>
      </c>
      <c r="C72" s="4" t="s">
        <v>208</v>
      </c>
      <c r="D72" s="1"/>
      <c r="E72" s="4"/>
      <c r="F72" s="4" t="s">
        <v>209</v>
      </c>
      <c r="G72" s="4" t="str">
        <f t="shared" si="2"/>
        <v>Yes</v>
      </c>
      <c r="H72" s="15" t="s">
        <v>210</v>
      </c>
    </row>
    <row r="73" spans="1:8" ht="29.1">
      <c r="A73" s="47"/>
      <c r="B73" s="4" t="s">
        <v>211</v>
      </c>
      <c r="C73" s="4" t="s">
        <v>208</v>
      </c>
      <c r="D73" s="1"/>
      <c r="E73" s="4"/>
      <c r="F73" s="4" t="s">
        <v>212</v>
      </c>
      <c r="G73" s="4" t="str">
        <f t="shared" si="2"/>
        <v>Yes</v>
      </c>
      <c r="H73" s="15" t="s">
        <v>210</v>
      </c>
    </row>
    <row r="74" spans="1:8" ht="29.45" thickBot="1">
      <c r="A74" s="48"/>
      <c r="B74" s="5" t="s">
        <v>213</v>
      </c>
      <c r="C74" s="5" t="s">
        <v>214</v>
      </c>
      <c r="D74" s="6"/>
      <c r="E74" s="5"/>
      <c r="F74" s="5" t="s">
        <v>215</v>
      </c>
      <c r="G74" s="5" t="str">
        <f t="shared" si="2"/>
        <v>Yes</v>
      </c>
      <c r="H74" s="15" t="s">
        <v>210</v>
      </c>
    </row>
    <row r="75" spans="1:8" hidden="1">
      <c r="A75" s="54" t="s">
        <v>216</v>
      </c>
      <c r="B75" s="3" t="s">
        <v>217</v>
      </c>
      <c r="C75" s="3" t="s">
        <v>218</v>
      </c>
      <c r="D75" s="7"/>
      <c r="E75" s="3"/>
      <c r="F75" s="3"/>
      <c r="G75" s="3" t="str">
        <f t="shared" si="2"/>
        <v>NA</v>
      </c>
      <c r="H75" s="14"/>
    </row>
    <row r="76" spans="1:8" ht="116.1">
      <c r="A76" s="55"/>
      <c r="B76" s="4" t="s">
        <v>219</v>
      </c>
      <c r="C76" s="4" t="s">
        <v>220</v>
      </c>
      <c r="D76" s="21" t="s">
        <v>221</v>
      </c>
      <c r="E76" s="4" t="s">
        <v>153</v>
      </c>
      <c r="F76" s="4" t="s">
        <v>222</v>
      </c>
      <c r="G76" s="4" t="str">
        <f t="shared" si="2"/>
        <v>Yes</v>
      </c>
      <c r="H76" s="36" t="s">
        <v>223</v>
      </c>
    </row>
    <row r="77" spans="1:8" hidden="1">
      <c r="A77" s="55"/>
      <c r="B77" s="4" t="s">
        <v>224</v>
      </c>
      <c r="C77" s="4" t="s">
        <v>225</v>
      </c>
      <c r="D77" s="1"/>
      <c r="E77" s="4"/>
      <c r="F77" s="4"/>
      <c r="G77" s="4" t="str">
        <f t="shared" si="2"/>
        <v>NA</v>
      </c>
      <c r="H77" s="15"/>
    </row>
    <row r="78" spans="1:8" hidden="1">
      <c r="A78" s="55"/>
      <c r="B78" s="4" t="s">
        <v>226</v>
      </c>
      <c r="C78" s="4"/>
      <c r="D78" s="1"/>
      <c r="E78" s="4"/>
      <c r="F78" s="4"/>
      <c r="G78" s="4" t="str">
        <f t="shared" si="2"/>
        <v>NA</v>
      </c>
      <c r="H78" s="15"/>
    </row>
    <row r="79" spans="1:8" hidden="1">
      <c r="A79" s="55"/>
      <c r="B79" s="4" t="s">
        <v>227</v>
      </c>
      <c r="C79" s="4"/>
      <c r="D79" s="1"/>
      <c r="E79" s="4"/>
      <c r="F79" s="4"/>
      <c r="G79" s="4" t="str">
        <f t="shared" si="2"/>
        <v>NA</v>
      </c>
      <c r="H79" s="15"/>
    </row>
    <row r="80" spans="1:8" hidden="1">
      <c r="A80" s="55"/>
      <c r="B80" s="4" t="s">
        <v>228</v>
      </c>
      <c r="C80" s="4"/>
      <c r="D80" s="1"/>
      <c r="E80" s="4"/>
      <c r="F80" s="4"/>
      <c r="G80" s="4" t="str">
        <f t="shared" si="2"/>
        <v>NA</v>
      </c>
      <c r="H80" s="15"/>
    </row>
    <row r="81" spans="1:10" ht="15" hidden="1" thickBot="1">
      <c r="A81" s="56"/>
      <c r="B81" s="5" t="s">
        <v>229</v>
      </c>
      <c r="C81" s="5"/>
      <c r="D81" s="6"/>
      <c r="E81" s="5"/>
      <c r="F81" s="5"/>
      <c r="G81" s="5" t="str">
        <f t="shared" si="2"/>
        <v>NA</v>
      </c>
      <c r="H81" s="16"/>
    </row>
    <row r="82" spans="1:10">
      <c r="A82" s="52" t="s">
        <v>230</v>
      </c>
      <c r="B82" s="30" t="s">
        <v>231</v>
      </c>
      <c r="C82" s="30"/>
      <c r="D82" s="29"/>
      <c r="E82" s="30"/>
      <c r="F82" s="30" t="s">
        <v>232</v>
      </c>
      <c r="G82" s="30" t="str">
        <f t="shared" si="2"/>
        <v>Yes</v>
      </c>
      <c r="H82" s="30" t="s">
        <v>233</v>
      </c>
    </row>
    <row r="83" spans="1:10" ht="35.25" customHeight="1" thickBot="1">
      <c r="A83" s="53"/>
      <c r="B83" s="24" t="s">
        <v>115</v>
      </c>
      <c r="C83" s="24"/>
      <c r="D83" s="23"/>
      <c r="E83" s="24"/>
      <c r="F83" s="24" t="s">
        <v>234</v>
      </c>
      <c r="G83" s="24" t="str">
        <f t="shared" ref="G83:G95" si="3">IF(H83&lt;&gt;"","Yes","NA")</f>
        <v>Yes</v>
      </c>
      <c r="H83" s="24" t="s">
        <v>233</v>
      </c>
    </row>
    <row r="84" spans="1:10" hidden="1">
      <c r="A84" s="54" t="s">
        <v>65</v>
      </c>
      <c r="B84" s="3" t="s">
        <v>68</v>
      </c>
      <c r="C84" s="3" t="s">
        <v>69</v>
      </c>
      <c r="D84" s="7"/>
      <c r="E84" s="3"/>
      <c r="F84" s="3"/>
      <c r="G84" s="3" t="str">
        <f t="shared" si="3"/>
        <v>NA</v>
      </c>
      <c r="H84" s="14"/>
    </row>
    <row r="85" spans="1:10" hidden="1">
      <c r="A85" s="55"/>
      <c r="B85" s="4" t="s">
        <v>72</v>
      </c>
      <c r="C85" s="4" t="s">
        <v>73</v>
      </c>
      <c r="D85" s="1"/>
      <c r="E85" s="4"/>
      <c r="F85" s="4"/>
      <c r="G85" s="4" t="str">
        <f t="shared" si="3"/>
        <v>NA</v>
      </c>
      <c r="H85" s="15"/>
      <c r="I85"/>
      <c r="J85"/>
    </row>
    <row r="86" spans="1:10" hidden="1">
      <c r="A86" s="55"/>
      <c r="B86" s="4" t="s">
        <v>74</v>
      </c>
      <c r="C86" s="4" t="s">
        <v>75</v>
      </c>
      <c r="D86" s="1"/>
      <c r="E86" s="4"/>
      <c r="F86" s="4"/>
      <c r="G86" s="4" t="str">
        <f t="shared" si="3"/>
        <v>NA</v>
      </c>
      <c r="H86" s="15"/>
      <c r="I86" s="9" t="s">
        <v>235</v>
      </c>
      <c r="J86" s="9" t="s">
        <v>236</v>
      </c>
    </row>
    <row r="87" spans="1:10" ht="15" hidden="1" thickBot="1">
      <c r="A87" s="56"/>
      <c r="B87" s="5" t="s">
        <v>76</v>
      </c>
      <c r="C87" s="5" t="s">
        <v>77</v>
      </c>
      <c r="D87" s="6"/>
      <c r="E87" s="5"/>
      <c r="F87" s="5"/>
      <c r="G87" s="5" t="str">
        <f t="shared" si="3"/>
        <v>NA</v>
      </c>
      <c r="H87" s="16"/>
      <c r="I87" s="9" t="s">
        <v>237</v>
      </c>
      <c r="J87" s="9" t="s">
        <v>238</v>
      </c>
    </row>
    <row r="88" spans="1:10" ht="29.1" hidden="1">
      <c r="A88" s="46" t="s">
        <v>239</v>
      </c>
      <c r="B88" s="3" t="s">
        <v>240</v>
      </c>
      <c r="C88" s="3" t="s">
        <v>241</v>
      </c>
      <c r="D88" s="3" t="s">
        <v>132</v>
      </c>
      <c r="E88" s="3"/>
      <c r="F88" s="3"/>
      <c r="G88" s="3"/>
      <c r="H88" s="14"/>
    </row>
    <row r="89" spans="1:10" hidden="1">
      <c r="A89" s="47"/>
      <c r="B89" s="4" t="s">
        <v>115</v>
      </c>
      <c r="C89" s="4" t="s">
        <v>242</v>
      </c>
      <c r="D89" s="1"/>
      <c r="E89" s="4"/>
      <c r="F89" s="4"/>
      <c r="G89" s="4"/>
      <c r="H89" s="15"/>
    </row>
    <row r="90" spans="1:10" hidden="1">
      <c r="A90" s="47"/>
      <c r="B90" s="4" t="s">
        <v>243</v>
      </c>
      <c r="C90" s="4" t="s">
        <v>244</v>
      </c>
      <c r="D90" s="1"/>
      <c r="E90" s="4"/>
      <c r="F90" s="4"/>
      <c r="G90" s="4"/>
      <c r="H90" s="15"/>
    </row>
    <row r="91" spans="1:10" hidden="1">
      <c r="A91" s="47"/>
      <c r="B91" s="4" t="s">
        <v>245</v>
      </c>
      <c r="C91" s="4" t="s">
        <v>246</v>
      </c>
      <c r="D91" s="1"/>
      <c r="E91" s="4"/>
      <c r="F91" s="4"/>
      <c r="G91" s="4"/>
      <c r="H91" s="15"/>
    </row>
    <row r="92" spans="1:10" hidden="1">
      <c r="A92" s="47"/>
      <c r="B92" s="4" t="s">
        <v>247</v>
      </c>
      <c r="C92" s="4" t="s">
        <v>248</v>
      </c>
      <c r="D92" s="1"/>
      <c r="E92" s="4"/>
      <c r="F92" s="4"/>
      <c r="G92" s="4"/>
      <c r="H92" s="15"/>
      <c r="I92"/>
      <c r="J92"/>
    </row>
    <row r="93" spans="1:10" hidden="1">
      <c r="A93" s="47"/>
      <c r="B93" s="4" t="s">
        <v>249</v>
      </c>
      <c r="C93" s="4" t="s">
        <v>71</v>
      </c>
      <c r="D93" s="1"/>
      <c r="E93" s="4"/>
      <c r="F93" s="4"/>
      <c r="G93" s="4"/>
      <c r="H93" s="15"/>
      <c r="I93" s="9" t="s">
        <v>250</v>
      </c>
      <c r="J93" s="9" t="s">
        <v>251</v>
      </c>
    </row>
    <row r="94" spans="1:10" ht="15" hidden="1" thickBot="1">
      <c r="A94" s="48"/>
      <c r="B94" s="5" t="s">
        <v>65</v>
      </c>
      <c r="C94" s="5" t="s">
        <v>65</v>
      </c>
      <c r="D94" s="6"/>
      <c r="E94" s="5"/>
      <c r="F94" s="5"/>
      <c r="G94" s="5"/>
      <c r="H94" s="16"/>
      <c r="I94" s="22"/>
      <c r="J94" s="22"/>
    </row>
    <row r="95" spans="1:10" ht="15" hidden="1" thickBot="1">
      <c r="A95" s="25"/>
      <c r="B95" s="26" t="s">
        <v>65</v>
      </c>
      <c r="C95" s="26"/>
      <c r="D95" s="27"/>
      <c r="E95" s="26"/>
      <c r="F95" s="26"/>
      <c r="G95" s="26"/>
      <c r="H95" s="28"/>
      <c r="I95" s="9"/>
      <c r="J95"/>
    </row>
    <row r="96" spans="1:10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  <row r="484" spans="2:8">
      <c r="B484" s="8"/>
      <c r="C484" s="8"/>
      <c r="E484" s="8"/>
      <c r="F484" s="8"/>
      <c r="G484" s="8"/>
      <c r="H484" s="8"/>
    </row>
    <row r="485" spans="2:8">
      <c r="B485" s="8"/>
      <c r="C485" s="8"/>
      <c r="E485" s="8"/>
      <c r="F485" s="8"/>
      <c r="G485" s="8"/>
      <c r="H485" s="8"/>
    </row>
    <row r="486" spans="2:8">
      <c r="B486" s="8"/>
      <c r="C486" s="8"/>
      <c r="E486" s="8"/>
      <c r="F486" s="8"/>
      <c r="G486" s="8"/>
      <c r="H486" s="8"/>
    </row>
  </sheetData>
  <autoFilter xmlns:x14="http://schemas.microsoft.com/office/spreadsheetml/2009/9/main" ref="A1:J95" xr:uid="{E145A67B-7C53-4D1C-AADD-87AC60CA0F9A}">
    <filterColumn colId="6">
      <filters>
        <filter val="Yes"/>
      </filters>
    </filterColumn>
    <filterColumn colId="7">
      <filters>
        <mc:AlternateContent xmlns:mc="http://schemas.openxmlformats.org/markup-compatibility/2006">
          <mc:Choice Requires="x14">
            <x14:filter val="IF FVAgeRestriction = 1 THEN 'No Restriction'_x000a_ELSEIF FVAgeRestriction = 2 THEN 'Min Age 21'_x000a_ELSEIF FVAgeRestriction = 3 THEN 'Min Age 25'_x000a_ELSEIF FVAgeRestriction = 4 THEN 'Min Age 30'_x000a_ELSEIF FVAgeRestriction = 5 THEN 'Min Age 40'_x000a_ELSE ''"/>
            <x14:filter val="IF FVCARHIRE = 1 THEN 'Taken'_x000a_ELSEIF FVCARHIRE = 0 THEN 'Not Taken'_x000a_ELSE ''"/>
            <x14:filter val="IF FVChoiceRepair = 1 THEN 'Taken'_x000a_ELSEIF FVChoiceRepair = 0 THEN 'Not Taken'_x000a_ELSE ''"/>
            <x14:filter val="IF FVCoverHookLiab = 1 THEN 0_x000a_ELSEIF FVCoverHookLiab = 2 THEN 100000_x000a_ELSEIF FVCoverHookLiab = 3 THEN 150000_x000a_ELSEIF FVCoverHookLiab = 4 THEN 200000_x000a_ELSEIF FVCoverHookLiab = 5 THEN 250000_x000a_ELSE ''"/>
            <x14:filter val="IF FVProtectionType = 1 THEN 'Comprehensive'_x000a_ELSEIF FVProtectionType = 3 THEN 'Third Party, Fire and Theft'_x000a_ELSEIF FVProtectionType = 4 THEN 'Third Party Only'_x000a_ELSEIF FVProtectionType = 5 THEN 'Third Party, Fire and Theft'_x000a_ELSE ''"/>
            <x14:filter val="IF FVUNLIMGLASS = 1 THEN 'Protected'_x000a_ELSEIF FVUNLIMGLASS = 0 THEN 'Not Protected'_x000a_ELSE ''"/>
            <x14:filter val="If FVVOLUNTARY =. THEN Select _x000a_ELSEIF FVOLUNTARY &lt;= 0 THEN 0_x000a_ELSEIF FVOLUNTARY &lt;= 250 THEN $250_x000a_ELSEIF FVOLUNTARY &lt;= 500 THEN $500_x000a_ELSEIF FVOLUNTARY &lt;= 750 THEN $750_x000a_ELSEIF FVOLUNTARY &lt;= 1000 THEN $1000_x000a_ELSEIF FVOLUNTARY &lt;= 1250 THEN $1250_x000a_ELSEIF FVOLUNTARY &gt; 1250 THEN $1500"/>
            <x14:filter val="SNOWFLAKE - REFERENCE_FLEET_TEMPLATE"/>
            <x14:filter val="SNOWFLAKE - REFERENCE_SCHEDULE_CLAUSES"/>
            <x14:filter val="SNOWFLAKE - REFERENCE_UW_QU_FLDelivery"/>
            <x14:filter val="SNOWFLAKE - REFERENCE_UW_QU_FLGENERAL"/>
            <x14:filter val="SNOWFLAKE - REFERENCE_UW_QU_FLHIRE"/>
          </mc:Choice>
          <mc:Fallback>
            <filter val="IF FVAgeRestriction = 1 THEN 'No Restriction'_x000a_ELSEIF FVAgeRestriction = 2 THEN 'Min Age 21'_x000a_ELSEIF FVAgeRestriction = 3 THEN 'Min Age 25'_x000a_ELSEIF FVAgeRestriction = 4 THEN 'Min Age 30'_x000a_ELSEIF FVAgeRestriction = 5 THEN 'Min Age 40'_x000a_ELSE ''"/>
            <filter val="IF FVCARHIRE = 1 THEN 'Taken'_x000a_ELSEIF FVCARHIRE = 0 THEN 'Not Taken'_x000a_ELSE ''"/>
            <filter val="IF FVChoiceRepair = 1 THEN 'Taken'_x000a_ELSEIF FVChoiceRepair = 0 THEN 'Not Taken'_x000a_ELSE ''"/>
            <filter val="IF FVCoverHookLiab = 1 THEN 0_x000a_ELSEIF FVCoverHookLiab = 2 THEN 100000_x000a_ELSEIF FVCoverHookLiab = 3 THEN 150000_x000a_ELSEIF FVCoverHookLiab = 4 THEN 200000_x000a_ELSEIF FVCoverHookLiab = 5 THEN 250000_x000a_ELSE ''"/>
            <filter val="IF FVProtectionType = 1 THEN 'Comprehensive'_x000a_ELSEIF FVProtectionType = 3 THEN 'Third Party, Fire and Theft'_x000a_ELSEIF FVProtectionType = 4 THEN 'Third Party Only'_x000a_ELSEIF FVProtectionType = 5 THEN 'Third Party, Fire and Theft'_x000a_ELSE ''"/>
            <filter val="IF FVUNLIMGLASS = 1 THEN 'Protected'_x000a_ELSEIF FVUNLIMGLASS = 0 THEN 'Not Protected'_x000a_ELSE ''"/>
            <filter val="SNOWFLAKE - REFERENCE_FLEET_TEMPLATE"/>
            <filter val="SNOWFLAKE - REFERENCE_SCHEDULE_CLAUSES"/>
            <filter val="SNOWFLAKE - REFERENCE_UW_QU_FLDelivery"/>
            <filter val="SNOWFLAKE - REFERENCE_UW_QU_FLGENERAL"/>
            <filter val="SNOWFLAKE - REFERENCE_UW_QU_FLHIRE"/>
          </mc:Fallback>
        </mc:AlternateContent>
      </filters>
    </filterColumn>
  </autoFilter>
  <mergeCells count="13">
    <mergeCell ref="A63:A74"/>
    <mergeCell ref="A20:A28"/>
    <mergeCell ref="A29:A40"/>
    <mergeCell ref="A82:A83"/>
    <mergeCell ref="A88:A94"/>
    <mergeCell ref="A84:A87"/>
    <mergeCell ref="A75:A81"/>
    <mergeCell ref="A58:A62"/>
    <mergeCell ref="A2:A9"/>
    <mergeCell ref="A10:A19"/>
    <mergeCell ref="A41:A49"/>
    <mergeCell ref="A51:A54"/>
    <mergeCell ref="A55:A57"/>
  </mergeCells>
  <conditionalFormatting sqref="G2:G95">
    <cfRule type="containsText" dxfId="0" priority="1" operator="containsText" text="Yes">
      <formula>NOT(ISERROR(SEARCH("Yes",G2)))</formula>
    </cfRule>
  </conditionalFormatting>
  <hyperlinks>
    <hyperlink ref="I86" r:id="rId1" display="https://capsoc.atlassian.net/browse/ATP-2423" xr:uid="{7E4145EE-500C-4AFF-850E-45E7A72ECAC0}"/>
    <hyperlink ref="J86" r:id="rId2" display="https://capsoc.atlassian.net/browse/ATP-2731" xr:uid="{DFBE45A9-5FCF-41A9-B382-A734BD26A27B}"/>
    <hyperlink ref="I87" r:id="rId3" display="https://capsoc.atlassian.net/browse/ATP-1819" xr:uid="{5C9FE53D-C348-4F15-A4A5-7E5CEA6676F9}"/>
    <hyperlink ref="J87" r:id="rId4" display="https://capsoc.atlassian.net/browse/ATP-3803" xr:uid="{99BBE3EA-19FF-4E3A-B079-6A6B728DE886}"/>
    <hyperlink ref="I93" r:id="rId5" display="https://capsoc.atlassian.net/browse/ATP-2100" xr:uid="{EB0752FD-E966-4512-A5A5-432B16E93A92}"/>
    <hyperlink ref="J93" r:id="rId6" display="https://capsoc.atlassian.net/browse/ATP-3769" xr:uid="{CECC8DF0-A6B4-43FA-A4B3-88411FB96383}"/>
  </hyperlinks>
  <pageMargins left="0.7" right="0.7" top="0.75" bottom="0.75" header="0.3" footer="0.3"/>
  <pageSetup paperSize="9" orientation="portrait" horizontalDpi="300" verticalDpi="30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7C68-0898-45E0-AA56-2DA64D4D5258}">
  <dimension ref="F1:K37"/>
  <sheetViews>
    <sheetView workbookViewId="0">
      <selection activeCell="F29" sqref="F29"/>
    </sheetView>
  </sheetViews>
  <sheetFormatPr defaultRowHeight="14.45"/>
  <cols>
    <col min="6" max="6" width="24.85546875" bestFit="1" customWidth="1"/>
  </cols>
  <sheetData>
    <row r="1" spans="6:11"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6:11">
      <c r="F2" t="s">
        <v>258</v>
      </c>
      <c r="G2" t="s">
        <v>259</v>
      </c>
      <c r="H2">
        <v>8</v>
      </c>
      <c r="I2">
        <v>11</v>
      </c>
      <c r="J2">
        <v>11</v>
      </c>
      <c r="K2" t="s">
        <v>258</v>
      </c>
    </row>
    <row r="3" spans="6:11">
      <c r="F3" t="s">
        <v>260</v>
      </c>
      <c r="G3" t="s">
        <v>259</v>
      </c>
      <c r="H3">
        <v>8</v>
      </c>
      <c r="I3">
        <v>11</v>
      </c>
      <c r="J3">
        <v>11</v>
      </c>
      <c r="K3" t="s">
        <v>260</v>
      </c>
    </row>
    <row r="4" spans="6:11">
      <c r="F4" t="s">
        <v>261</v>
      </c>
      <c r="G4" t="s">
        <v>262</v>
      </c>
      <c r="H4">
        <v>255</v>
      </c>
      <c r="I4" t="s">
        <v>263</v>
      </c>
      <c r="J4" t="s">
        <v>263</v>
      </c>
      <c r="K4" t="s">
        <v>261</v>
      </c>
    </row>
    <row r="5" spans="6:11">
      <c r="F5" t="s">
        <v>264</v>
      </c>
      <c r="G5" t="s">
        <v>259</v>
      </c>
      <c r="H5">
        <v>8</v>
      </c>
      <c r="I5">
        <v>4</v>
      </c>
      <c r="J5">
        <v>4</v>
      </c>
      <c r="K5" t="s">
        <v>264</v>
      </c>
    </row>
    <row r="6" spans="6:11">
      <c r="F6" t="s">
        <v>265</v>
      </c>
      <c r="G6" t="s">
        <v>259</v>
      </c>
      <c r="H6">
        <v>8</v>
      </c>
      <c r="I6">
        <v>11</v>
      </c>
      <c r="J6">
        <v>11</v>
      </c>
      <c r="K6" t="s">
        <v>265</v>
      </c>
    </row>
    <row r="7" spans="6:11">
      <c r="F7" t="s">
        <v>266</v>
      </c>
      <c r="G7" t="s">
        <v>259</v>
      </c>
      <c r="H7">
        <v>8</v>
      </c>
      <c r="I7">
        <v>21.4</v>
      </c>
      <c r="J7">
        <v>21.4</v>
      </c>
      <c r="K7" t="s">
        <v>266</v>
      </c>
    </row>
    <row r="8" spans="6:11">
      <c r="F8" t="s">
        <v>267</v>
      </c>
      <c r="G8" t="s">
        <v>259</v>
      </c>
      <c r="H8">
        <v>8</v>
      </c>
      <c r="I8">
        <v>21.4</v>
      </c>
      <c r="J8">
        <v>21.4</v>
      </c>
      <c r="K8" t="s">
        <v>267</v>
      </c>
    </row>
    <row r="9" spans="6:11">
      <c r="F9" t="s">
        <v>268</v>
      </c>
      <c r="G9" t="s">
        <v>259</v>
      </c>
      <c r="H9">
        <v>8</v>
      </c>
      <c r="I9">
        <v>4</v>
      </c>
      <c r="J9">
        <v>4</v>
      </c>
      <c r="K9" t="s">
        <v>268</v>
      </c>
    </row>
    <row r="10" spans="6:11">
      <c r="F10" t="s">
        <v>269</v>
      </c>
      <c r="G10" t="s">
        <v>259</v>
      </c>
      <c r="H10">
        <v>8</v>
      </c>
      <c r="I10">
        <v>4</v>
      </c>
      <c r="J10">
        <v>4</v>
      </c>
      <c r="K10" t="s">
        <v>269</v>
      </c>
    </row>
    <row r="11" spans="6:11">
      <c r="F11" t="s">
        <v>270</v>
      </c>
      <c r="G11" t="s">
        <v>259</v>
      </c>
      <c r="H11">
        <v>8</v>
      </c>
      <c r="I11">
        <v>11</v>
      </c>
      <c r="J11">
        <v>11</v>
      </c>
      <c r="K11" t="s">
        <v>270</v>
      </c>
    </row>
    <row r="12" spans="6:11">
      <c r="F12" t="s">
        <v>271</v>
      </c>
      <c r="G12" t="s">
        <v>259</v>
      </c>
      <c r="H12">
        <v>8</v>
      </c>
      <c r="I12">
        <v>21.4</v>
      </c>
      <c r="J12">
        <v>21.4</v>
      </c>
      <c r="K12" t="s">
        <v>271</v>
      </c>
    </row>
    <row r="13" spans="6:11">
      <c r="F13" t="s">
        <v>272</v>
      </c>
      <c r="G13" t="s">
        <v>259</v>
      </c>
      <c r="H13">
        <v>8</v>
      </c>
      <c r="I13">
        <v>21.4</v>
      </c>
      <c r="J13">
        <v>21.4</v>
      </c>
      <c r="K13" t="s">
        <v>272</v>
      </c>
    </row>
    <row r="14" spans="6:11">
      <c r="F14" t="s">
        <v>273</v>
      </c>
      <c r="G14" t="s">
        <v>259</v>
      </c>
      <c r="H14">
        <v>8</v>
      </c>
      <c r="I14">
        <v>11</v>
      </c>
      <c r="J14">
        <v>11</v>
      </c>
      <c r="K14" t="s">
        <v>273</v>
      </c>
    </row>
    <row r="15" spans="6:11">
      <c r="F15" t="s">
        <v>274</v>
      </c>
      <c r="G15" t="s">
        <v>259</v>
      </c>
      <c r="H15">
        <v>8</v>
      </c>
      <c r="I15">
        <v>4</v>
      </c>
      <c r="J15">
        <v>4</v>
      </c>
      <c r="K15" t="s">
        <v>274</v>
      </c>
    </row>
    <row r="16" spans="6:11">
      <c r="F16" t="s">
        <v>275</v>
      </c>
      <c r="G16" t="s">
        <v>259</v>
      </c>
      <c r="H16">
        <v>8</v>
      </c>
      <c r="I16">
        <v>21.4</v>
      </c>
      <c r="J16">
        <v>21.4</v>
      </c>
      <c r="K16" t="s">
        <v>275</v>
      </c>
    </row>
    <row r="17" spans="6:11">
      <c r="F17" t="s">
        <v>276</v>
      </c>
      <c r="G17" t="s">
        <v>259</v>
      </c>
      <c r="H17">
        <v>8</v>
      </c>
      <c r="I17">
        <v>21.4</v>
      </c>
      <c r="J17">
        <v>21.4</v>
      </c>
      <c r="K17" t="s">
        <v>276</v>
      </c>
    </row>
    <row r="18" spans="6:11">
      <c r="F18" t="s">
        <v>277</v>
      </c>
      <c r="G18" t="s">
        <v>259</v>
      </c>
      <c r="H18">
        <v>8</v>
      </c>
      <c r="I18">
        <v>21.4</v>
      </c>
      <c r="J18">
        <v>21.4</v>
      </c>
      <c r="K18" t="s">
        <v>277</v>
      </c>
    </row>
    <row r="19" spans="6:11">
      <c r="F19" t="s">
        <v>278</v>
      </c>
      <c r="G19" t="s">
        <v>259</v>
      </c>
      <c r="H19">
        <v>8</v>
      </c>
      <c r="I19">
        <v>21.4</v>
      </c>
      <c r="J19">
        <v>21.4</v>
      </c>
      <c r="K19" t="s">
        <v>278</v>
      </c>
    </row>
    <row r="20" spans="6:11">
      <c r="F20" t="s">
        <v>279</v>
      </c>
      <c r="G20" t="s">
        <v>259</v>
      </c>
      <c r="H20">
        <v>8</v>
      </c>
      <c r="I20">
        <v>4</v>
      </c>
      <c r="J20">
        <v>4</v>
      </c>
      <c r="K20" t="s">
        <v>279</v>
      </c>
    </row>
    <row r="21" spans="6:11">
      <c r="F21" t="s">
        <v>280</v>
      </c>
      <c r="G21" t="s">
        <v>259</v>
      </c>
      <c r="H21">
        <v>8</v>
      </c>
      <c r="I21">
        <v>21.4</v>
      </c>
      <c r="J21">
        <v>21.4</v>
      </c>
      <c r="K21" t="s">
        <v>280</v>
      </c>
    </row>
    <row r="22" spans="6:11">
      <c r="F22" t="s">
        <v>281</v>
      </c>
      <c r="G22" t="s">
        <v>259</v>
      </c>
      <c r="H22">
        <v>8</v>
      </c>
      <c r="I22">
        <v>21.4</v>
      </c>
      <c r="J22">
        <v>21.4</v>
      </c>
      <c r="K22" t="s">
        <v>281</v>
      </c>
    </row>
    <row r="23" spans="6:11">
      <c r="F23" t="s">
        <v>282</v>
      </c>
      <c r="G23" t="s">
        <v>259</v>
      </c>
      <c r="H23">
        <v>8</v>
      </c>
      <c r="I23">
        <v>21.4</v>
      </c>
      <c r="J23">
        <v>21.4</v>
      </c>
      <c r="K23" t="s">
        <v>282</v>
      </c>
    </row>
    <row r="24" spans="6:11">
      <c r="F24" t="s">
        <v>283</v>
      </c>
      <c r="G24" t="s">
        <v>259</v>
      </c>
      <c r="H24">
        <v>8</v>
      </c>
      <c r="I24">
        <v>21.4</v>
      </c>
      <c r="J24">
        <v>21.4</v>
      </c>
      <c r="K24" t="s">
        <v>283</v>
      </c>
    </row>
    <row r="25" spans="6:11">
      <c r="F25" t="s">
        <v>284</v>
      </c>
      <c r="G25" t="s">
        <v>259</v>
      </c>
      <c r="H25">
        <v>8</v>
      </c>
      <c r="I25">
        <v>21.4</v>
      </c>
      <c r="J25">
        <v>21.4</v>
      </c>
      <c r="K25" t="s">
        <v>284</v>
      </c>
    </row>
    <row r="26" spans="6:11">
      <c r="F26" t="s">
        <v>285</v>
      </c>
      <c r="G26" t="s">
        <v>259</v>
      </c>
      <c r="H26">
        <v>8</v>
      </c>
      <c r="I26">
        <v>21.4</v>
      </c>
      <c r="J26">
        <v>21.4</v>
      </c>
      <c r="K26" t="s">
        <v>285</v>
      </c>
    </row>
    <row r="27" spans="6:11">
      <c r="F27" t="s">
        <v>286</v>
      </c>
      <c r="G27" t="s">
        <v>259</v>
      </c>
      <c r="H27">
        <v>8</v>
      </c>
      <c r="I27">
        <v>11</v>
      </c>
      <c r="J27">
        <v>11</v>
      </c>
      <c r="K27" t="s">
        <v>286</v>
      </c>
    </row>
    <row r="28" spans="6:11">
      <c r="F28" t="s">
        <v>287</v>
      </c>
      <c r="G28" t="s">
        <v>259</v>
      </c>
      <c r="H28">
        <v>8</v>
      </c>
      <c r="I28">
        <v>4</v>
      </c>
      <c r="J28">
        <v>4</v>
      </c>
      <c r="K28" t="s">
        <v>287</v>
      </c>
    </row>
    <row r="29" spans="6:11">
      <c r="F29" t="s">
        <v>288</v>
      </c>
      <c r="G29" t="s">
        <v>259</v>
      </c>
      <c r="H29">
        <v>8</v>
      </c>
      <c r="I29">
        <v>11</v>
      </c>
      <c r="J29">
        <v>11</v>
      </c>
      <c r="K29" t="s">
        <v>288</v>
      </c>
    </row>
    <row r="30" spans="6:11">
      <c r="F30" t="s">
        <v>289</v>
      </c>
      <c r="G30" t="s">
        <v>259</v>
      </c>
      <c r="H30">
        <v>8</v>
      </c>
      <c r="I30">
        <v>11</v>
      </c>
      <c r="J30">
        <v>11</v>
      </c>
      <c r="K30" t="s">
        <v>289</v>
      </c>
    </row>
    <row r="31" spans="6:11">
      <c r="F31" t="s">
        <v>290</v>
      </c>
      <c r="G31" t="s">
        <v>259</v>
      </c>
      <c r="H31">
        <v>8</v>
      </c>
      <c r="I31">
        <v>4</v>
      </c>
      <c r="J31">
        <v>4</v>
      </c>
      <c r="K31" t="s">
        <v>290</v>
      </c>
    </row>
    <row r="32" spans="6:11">
      <c r="F32" t="s">
        <v>291</v>
      </c>
      <c r="G32" t="s">
        <v>259</v>
      </c>
      <c r="H32">
        <v>8</v>
      </c>
      <c r="I32">
        <v>21.4</v>
      </c>
      <c r="J32">
        <v>21.4</v>
      </c>
      <c r="K32" t="s">
        <v>291</v>
      </c>
    </row>
    <row r="33" spans="6:11">
      <c r="F33" t="s">
        <v>292</v>
      </c>
      <c r="G33" t="s">
        <v>259</v>
      </c>
      <c r="H33">
        <v>8</v>
      </c>
      <c r="I33">
        <v>21.4</v>
      </c>
      <c r="J33">
        <v>21.4</v>
      </c>
      <c r="K33" t="s">
        <v>292</v>
      </c>
    </row>
    <row r="34" spans="6:11">
      <c r="F34" t="s">
        <v>293</v>
      </c>
      <c r="G34" t="s">
        <v>259</v>
      </c>
      <c r="H34">
        <v>8</v>
      </c>
      <c r="I34">
        <v>21.4</v>
      </c>
      <c r="J34">
        <v>21.4</v>
      </c>
      <c r="K34" t="s">
        <v>293</v>
      </c>
    </row>
    <row r="35" spans="6:11">
      <c r="F35" t="s">
        <v>294</v>
      </c>
      <c r="G35" t="s">
        <v>259</v>
      </c>
      <c r="H35">
        <v>8</v>
      </c>
      <c r="I35">
        <v>11</v>
      </c>
      <c r="J35">
        <v>11</v>
      </c>
      <c r="K35" t="s">
        <v>294</v>
      </c>
    </row>
    <row r="36" spans="6:11">
      <c r="F36" t="s">
        <v>295</v>
      </c>
      <c r="G36" t="s">
        <v>259</v>
      </c>
      <c r="H36">
        <v>8</v>
      </c>
      <c r="I36">
        <v>4</v>
      </c>
      <c r="J36">
        <v>4</v>
      </c>
      <c r="K36" t="s">
        <v>295</v>
      </c>
    </row>
    <row r="37" spans="6:11">
      <c r="F37" t="s">
        <v>296</v>
      </c>
      <c r="G37" t="s">
        <v>259</v>
      </c>
      <c r="H37">
        <v>8</v>
      </c>
      <c r="I37">
        <v>21.4</v>
      </c>
      <c r="J37">
        <v>21.4</v>
      </c>
      <c r="K37" t="s">
        <v>296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6cc841bf4b8fd0ce48ba3012b5eca38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3a96c65b59314a4abc70e4d29771d18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64D6CA21-4882-4027-B792-76B16E5FBC6A}"/>
</file>

<file path=customXml/itemProps2.xml><?xml version="1.0" encoding="utf-8"?>
<ds:datastoreItem xmlns:ds="http://schemas.openxmlformats.org/officeDocument/2006/customXml" ds:itemID="{90589CAE-B5FC-43D2-BEAC-8EB3FB0D0DEF}"/>
</file>

<file path=customXml/itemProps3.xml><?xml version="1.0" encoding="utf-8"?>
<ds:datastoreItem xmlns:ds="http://schemas.openxmlformats.org/officeDocument/2006/customXml" ds:itemID="{80CBDE7B-3CD0-499A-8EDC-9B4D4D100BAC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2025-07-31T05:30:51Z</dcterms:created>
  <dcterms:modified xsi:type="dcterms:W3CDTF">2026-01-13T09:51:29Z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